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hidePivotFieldList="1"/>
  <mc:AlternateContent xmlns:mc="http://schemas.openxmlformats.org/markup-compatibility/2006">
    <mc:Choice Requires="x15">
      <x15ac:absPath xmlns:x15ac="http://schemas.microsoft.com/office/spreadsheetml/2010/11/ac" url="https://capeitinitiative-my.sharepoint.com/personal/sibongile_maluleka_capaciti_org_za/Documents/Microsoft Teams Chat Files/"/>
    </mc:Choice>
  </mc:AlternateContent>
  <xr:revisionPtr revIDLastSave="563" documentId="8_{355E3272-4F65-4526-B6CE-9A27223957D0}" xr6:coauthVersionLast="47" xr6:coauthVersionMax="47" xr10:uidLastSave="{64D005E3-CBB3-4252-8911-DFD3F26CAFC9}"/>
  <bookViews>
    <workbookView xWindow="-120" yWindow="-120" windowWidth="25440" windowHeight="15390" firstSheet="7" activeTab="7" xr2:uid="{B2525158-8EC4-486B-BFE5-4F7BD4C20FCE}"/>
  </bookViews>
  <sheets>
    <sheet name="Landing-Page" sheetId="9" r:id="rId1"/>
    <sheet name="Week-2-Sales-Data" sheetId="2" r:id="rId2"/>
    <sheet name="Total Revenue For Each Product " sheetId="1" r:id="rId3"/>
    <sheet name="Top 3 Products " sheetId="4" r:id="rId4"/>
    <sheet name="Total Revenue By Region " sheetId="3" r:id="rId5"/>
    <sheet name="Total Revenue Per Month " sheetId="5" r:id="rId6"/>
    <sheet name="Revenue Comparison by Region" sheetId="6" r:id="rId7"/>
    <sheet name="Report" sheetId="8" r:id="rId8"/>
  </sheets>
  <definedNames>
    <definedName name="ExternalData_1" localSheetId="1" hidden="1">'Week-2-Sales-Data'!$A$1:$H$101</definedName>
    <definedName name="Slicer_Months__Order_Date">#N/A</definedName>
    <definedName name="Slicer_Region">#N/A</definedName>
  </definedNames>
  <calcPr calcId="191028"/>
  <pivotCaches>
    <pivotCache cacheId="5823" r:id="rId9"/>
    <pivotCache cacheId="582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8" l="1"/>
  <c r="N20" i="8"/>
  <c r="N15" i="8"/>
  <c r="N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BD0B92-8D5F-4A12-BA64-C6610FD9F39C}" keepAlive="1" name="Query - Week-2-Sales-Data" description="Connection to the 'Week-2-Sales-Data' query in the workbook." type="5" refreshedVersion="8" background="1" saveData="1">
    <dbPr connection="Provider=Microsoft.Mashup.OleDb.1;Data Source=$Workbook$;Location=Week-2-Sales-Data;Extended Properties=&quot;&quot;" command="SELECT * FROM [Week-2-Sales-Data]"/>
  </connection>
</connections>
</file>

<file path=xl/sharedStrings.xml><?xml version="1.0" encoding="utf-8"?>
<sst xmlns="http://schemas.openxmlformats.org/spreadsheetml/2006/main" count="478" uniqueCount="174">
  <si>
    <t>Data Collection &amp; Management</t>
  </si>
  <si>
    <t xml:space="preserve">Excel Group </t>
  </si>
  <si>
    <t>Group Members:-</t>
  </si>
  <si>
    <t>Lebogang Molepo</t>
  </si>
  <si>
    <t>Tersh Kgaphola</t>
  </si>
  <si>
    <t>Tshepang Mafona</t>
  </si>
  <si>
    <t>Lethukuthula Mthiyane</t>
  </si>
  <si>
    <t>Sibongile Maluleka</t>
  </si>
  <si>
    <t>Order_ID</t>
  </si>
  <si>
    <t>Product</t>
  </si>
  <si>
    <t>Region</t>
  </si>
  <si>
    <t>Units_Sold</t>
  </si>
  <si>
    <t>Unit_Price</t>
  </si>
  <si>
    <t>Revenue</t>
  </si>
  <si>
    <t>Sales_Rep</t>
  </si>
  <si>
    <t>Order_Date</t>
  </si>
  <si>
    <t>ORD001</t>
  </si>
  <si>
    <t>Printer</t>
  </si>
  <si>
    <t>Limpopo</t>
  </si>
  <si>
    <t>Rep-2</t>
  </si>
  <si>
    <t>ORD002</t>
  </si>
  <si>
    <t>Headphones</t>
  </si>
  <si>
    <t>Western Cape</t>
  </si>
  <si>
    <t>Rep-18</t>
  </si>
  <si>
    <t>ORD003</t>
  </si>
  <si>
    <t>Laptop</t>
  </si>
  <si>
    <t>Rep-16</t>
  </si>
  <si>
    <t>ORD004</t>
  </si>
  <si>
    <t>External Hard Drive</t>
  </si>
  <si>
    <t>KwaZulu-Natal</t>
  </si>
  <si>
    <t>Rep-3</t>
  </si>
  <si>
    <t>ORD005</t>
  </si>
  <si>
    <t>Smartphone</t>
  </si>
  <si>
    <t>Rep-17</t>
  </si>
  <si>
    <t>ORD006</t>
  </si>
  <si>
    <t>Smartwatch</t>
  </si>
  <si>
    <t>North West</t>
  </si>
  <si>
    <t>Rep-19</t>
  </si>
  <si>
    <t>ORD007</t>
  </si>
  <si>
    <t>Tablet</t>
  </si>
  <si>
    <t>Free State</t>
  </si>
  <si>
    <t>Rep-1</t>
  </si>
  <si>
    <t>ORD008</t>
  </si>
  <si>
    <t>Gauteng</t>
  </si>
  <si>
    <t>Rep-7</t>
  </si>
  <si>
    <t>ORD009</t>
  </si>
  <si>
    <t>Eastern Cape</t>
  </si>
  <si>
    <t>Rep-15</t>
  </si>
  <si>
    <t>ORD010</t>
  </si>
  <si>
    <t>Rep-14</t>
  </si>
  <si>
    <t>ORD011</t>
  </si>
  <si>
    <t>Rep-12</t>
  </si>
  <si>
    <t>ORD012</t>
  </si>
  <si>
    <t>ORD013</t>
  </si>
  <si>
    <t>Rep-20</t>
  </si>
  <si>
    <t>ORD014</t>
  </si>
  <si>
    <t>Rep-13</t>
  </si>
  <si>
    <t>ORD015</t>
  </si>
  <si>
    <t>Rep-11</t>
  </si>
  <si>
    <t>ORD016</t>
  </si>
  <si>
    <t>ORD017</t>
  </si>
  <si>
    <t>ORD018</t>
  </si>
  <si>
    <t>ORD019</t>
  </si>
  <si>
    <t>ORD020</t>
  </si>
  <si>
    <t>Rep-8</t>
  </si>
  <si>
    <t>ORD021</t>
  </si>
  <si>
    <t>ORD022</t>
  </si>
  <si>
    <t>ORD023</t>
  </si>
  <si>
    <t>ORD024</t>
  </si>
  <si>
    <t>ORD025</t>
  </si>
  <si>
    <t>Rep-4</t>
  </si>
  <si>
    <t>ORD026</t>
  </si>
  <si>
    <t>ORD027</t>
  </si>
  <si>
    <t>ORD028</t>
  </si>
  <si>
    <t>Rep-9</t>
  </si>
  <si>
    <t>ORD029</t>
  </si>
  <si>
    <t>ORD030</t>
  </si>
  <si>
    <t>ORD031</t>
  </si>
  <si>
    <t>ORD032</t>
  </si>
  <si>
    <t>ORD033</t>
  </si>
  <si>
    <t>ORD034</t>
  </si>
  <si>
    <t>ORD035</t>
  </si>
  <si>
    <t>ORD036</t>
  </si>
  <si>
    <t>ORD037</t>
  </si>
  <si>
    <t>ORD038</t>
  </si>
  <si>
    <t>ORD039</t>
  </si>
  <si>
    <t>ORD040</t>
  </si>
  <si>
    <t>Rep-6</t>
  </si>
  <si>
    <t>ORD041</t>
  </si>
  <si>
    <t>ORD042</t>
  </si>
  <si>
    <t>ORD043</t>
  </si>
  <si>
    <t>ORD044</t>
  </si>
  <si>
    <t>ORD045</t>
  </si>
  <si>
    <t>ORD046</t>
  </si>
  <si>
    <t>ORD047</t>
  </si>
  <si>
    <t>ORD048</t>
  </si>
  <si>
    <t>ORD049</t>
  </si>
  <si>
    <t>ORD050</t>
  </si>
  <si>
    <t>ORD051</t>
  </si>
  <si>
    <t>ORD052</t>
  </si>
  <si>
    <t>ORD053</t>
  </si>
  <si>
    <t>ORD054</t>
  </si>
  <si>
    <t>ORD055</t>
  </si>
  <si>
    <t>ORD056</t>
  </si>
  <si>
    <t>Rep-5</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</si>
  <si>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</si>
  <si>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</si>
  <si>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</si>
  <si>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</si>
  <si>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</si>
  <si>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</si>
  <si>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</si>
  <si>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</si>
  <si>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</si>
  <si>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</si>
  <si>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</si>
  <si>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</si>
  <si>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</si>
  <si>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</si>
  <si>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</si>
  <si>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</si>
  <si>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</si>
  <si>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</si>
  <si>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</si>
  <si>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</si>
  <si>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</si>
  <si>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</si>
  <si>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</si>
  <si>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</si>
  <si>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</si>
  <si>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</si>
  <si>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</si>
  <si>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</si>
  <si>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</si>
  <si>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</si>
  <si>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</si>
  <si>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Rep-10</t>
  </si>
  <si>
    <t>ORD088</t>
  </si>
  <si>
    <t>ORD089</t>
  </si>
  <si>
    <t>ORD090</t>
  </si>
  <si>
    <t>ORD091</t>
  </si>
  <si>
    <t>ORD092</t>
  </si>
  <si>
    <t>ORD093</t>
  </si>
  <si>
    <t>ORD094</t>
  </si>
  <si>
    <t>ORD095</t>
  </si>
  <si>
    <t>ORD096</t>
  </si>
  <si>
    <t>ORD097</t>
  </si>
  <si>
    <t>ORD098</t>
  </si>
  <si>
    <t>ORD099</t>
  </si>
  <si>
    <t>ORD100</t>
  </si>
  <si>
    <t>Total Revenue For Each Product</t>
  </si>
  <si>
    <t>Row Labels</t>
  </si>
  <si>
    <t>Sum of Revenue</t>
  </si>
  <si>
    <t>Grand Total</t>
  </si>
  <si>
    <t>Top 3 Products</t>
  </si>
  <si>
    <t>Total Revenue By Region</t>
  </si>
  <si>
    <t>Total Revenue Per Month</t>
  </si>
  <si>
    <t>Months (Order_Date)</t>
  </si>
  <si>
    <t>Jan</t>
  </si>
  <si>
    <t>Feb</t>
  </si>
  <si>
    <t>Mar</t>
  </si>
  <si>
    <t>Apr</t>
  </si>
  <si>
    <t>May</t>
  </si>
  <si>
    <t>Jun</t>
  </si>
  <si>
    <t>SALES REPORT</t>
  </si>
  <si>
    <t>Products</t>
  </si>
  <si>
    <t>Sum of Units_Sold</t>
  </si>
  <si>
    <t>Sum of Unit_Price</t>
  </si>
  <si>
    <t>Number Of Orders</t>
  </si>
  <si>
    <t>Total Revenue</t>
  </si>
  <si>
    <t>Number Of Units Sold</t>
  </si>
  <si>
    <t>Total Unit_Price</t>
  </si>
  <si>
    <t>Overall Top-3 Products</t>
  </si>
  <si>
    <r>
      <rPr>
        <b/>
        <sz val="8"/>
        <color rgb="FFFF0000"/>
        <rFont val="Calibri"/>
      </rPr>
      <t>Conclusion</t>
    </r>
    <r>
      <rPr>
        <sz val="8"/>
        <color rgb="FF000000"/>
        <rFont val="Calibri"/>
      </rPr>
      <t xml:space="preserve">: The balanced distribution of sales across regions suggests consistent market penetration and stable regional performance. These results highlight effective pricing strategies and product mix, positioning the business well for sustained growth. </t>
    </r>
    <r>
      <rPr>
        <b/>
        <sz val="8"/>
        <color rgb="FF000000"/>
        <rFont val="Calibri"/>
      </rPr>
      <t>Tablets, Smartwatches, and Printers</t>
    </r>
    <r>
      <rPr>
        <sz val="8"/>
        <color rgb="FF000000"/>
        <rFont val="Calibri"/>
      </rPr>
      <t xml:space="preserve"> emerged as the top-performing products, indicating strong customer preference. Sales performance was strong, reflecting healthy demand across all regions and months, which is a positive result for the business success.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</si>
</sst>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00"/>
    <numFmt numFmtId="165" formatCode="[$R-1C09]#,##0.00"/>
  </numFmts>
  <fonts count="15">
    <font>
      <sz val="11"/>
      <color theme="1"/>
      <name val="Aptos Narrow"/>
      <family val="2"/>
      <scheme val="minor"/>
    </font>
    <font>
      <b/>
      <sz val="11"/>
      <color theme="1"/>
      <name val="Aptos Narrow"/>
      <family val="2"/>
      <scheme val="minor"/>
    </font>
    <font>
      <b/>
      <sz val="18"/>
      <color theme="1"/>
      <name val="Aptos Narrow"/>
      <family val="2"/>
      <scheme val="minor"/>
    </font>
    <font>
      <b/>
      <sz val="14"/>
      <color theme="1"/>
      <name val="Aptos Narrow"/>
      <family val="2"/>
      <scheme val="minor"/>
    </font>
    <font>
      <b/>
      <sz val="8"/>
      <color theme="1"/>
      <name val="Aptos Narrow"/>
      <family val="2"/>
      <scheme val="minor"/>
    </font>
    <font>
      <b/>
      <sz val="24"/>
      <color theme="0"/>
      <name val="ADLaM Display"/>
    </font>
    <font>
      <sz val="10"/>
      <color theme="1"/>
      <name val="Aptos Narrow"/>
      <family val="2"/>
      <scheme val="minor"/>
    </font>
    <font>
      <b/>
      <sz val="10"/>
      <color theme="1"/>
      <name val="Aptos Narrow"/>
      <family val="2"/>
      <scheme val="minor"/>
    </font>
    <font>
      <sz val="12"/>
      <color theme="1"/>
      <name val="Aptos Narrow"/>
      <family val="2"/>
      <scheme val="minor"/>
    </font>
    <font>
      <b/>
      <sz val="18"/>
      <color rgb="FFE64343"/>
      <name val="Aharoni"/>
    </font>
    <font>
      <b/>
      <sz val="14"/>
      <color rgb="FF000000"/>
      <name val="Aptos Narrow"/>
    </font>
    <font>
      <sz val="8"/>
      <color theme="1"/>
      <name val="Calibri"/>
    </font>
    <font>
      <sz val="8"/>
      <color rgb="FF000000"/>
      <name val="Calibri"/>
    </font>
    <font>
      <b/>
      <sz val="8"/>
      <color rgb="FFFF0000"/>
      <name val="Calibri"/>
    </font>
    <font>
      <b/>
      <sz val="8"/>
      <color rgb="FF000000"/>
      <name val="Calibri"/>
    </font>
  </fonts>
  <fills count="7">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3" tint="9.9978637043366805E-2"/>
        <bgColor indexed="64"/>
      </patternFill>
    </fill>
    <fill>
      <patternFill patternType="solid">
        <fgColor theme="0" tint="-4.9989318521683403E-2"/>
        <bgColor indexed="64"/>
      </patternFill>
    </fill>
    <fill>
      <patternFill patternType="solid">
        <fgColor theme="0"/>
        <bgColor indexed="64"/>
      </patternFill>
    </fill>
  </fills>
  <borders count="1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5">
    <xf numFmtId="0" fontId="0" fillId="0" borderId="0" xfId="0"/>
    <xf numFmtId="14" fontId="0" fillId="0" borderId="0" xfId="0" applyNumberFormat="1"/>
    <xf numFmtId="0" fontId="0" fillId="0" borderId="0" xfId="0" applyAlignment="1">
      <alignment vertical="top"/>
    </xf>
    <xf numFmtId="0" fontId="0" fillId="0" borderId="0" xfId="0" pivotButton="1"/>
    <xf numFmtId="0" fontId="0" fillId="0" borderId="0" xfId="0" applyAlignment="1">
      <alignment horizontal="left"/>
    </xf>
    <xf numFmtId="0" fontId="1" fillId="0" borderId="0" xfId="0" applyFont="1" applyAlignment="1">
      <alignment horizontal="center" vertical="center"/>
    </xf>
    <xf numFmtId="4" fontId="0" fillId="0" borderId="0" xfId="0" applyNumberFormat="1"/>
    <xf numFmtId="4" fontId="0" fillId="0" borderId="0" xfId="0" applyNumberFormat="1" applyAlignment="1">
      <alignment vertical="top"/>
    </xf>
    <xf numFmtId="0" fontId="4" fillId="0" borderId="0" xfId="0" applyFont="1" applyAlignment="1">
      <alignment horizontal="center" vertical="center"/>
    </xf>
    <xf numFmtId="0" fontId="0" fillId="5" borderId="0" xfId="0" applyFill="1" applyAlignment="1">
      <alignment horizontal="left"/>
    </xf>
    <xf numFmtId="0" fontId="6" fillId="5" borderId="0" xfId="0" applyFont="1" applyFill="1" applyAlignment="1">
      <alignment horizontal="left"/>
    </xf>
    <xf numFmtId="164" fontId="6" fillId="0" borderId="0" xfId="0" applyNumberFormat="1" applyFont="1"/>
    <xf numFmtId="0" fontId="7" fillId="0" borderId="0" xfId="0" pivotButton="1" applyFont="1"/>
    <xf numFmtId="0" fontId="7" fillId="0" borderId="0" xfId="0" applyFont="1"/>
    <xf numFmtId="0" fontId="0" fillId="6" borderId="9" xfId="0" applyFill="1" applyBorder="1"/>
    <xf numFmtId="0" fontId="0" fillId="6" borderId="10" xfId="0" applyFill="1" applyBorder="1"/>
    <xf numFmtId="0" fontId="0" fillId="6" borderId="11" xfId="0" applyFill="1" applyBorder="1"/>
    <xf numFmtId="0" fontId="0" fillId="6" borderId="12" xfId="0" applyFill="1" applyBorder="1"/>
    <xf numFmtId="0" fontId="0" fillId="6" borderId="0" xfId="0" applyFill="1"/>
    <xf numFmtId="0" fontId="0" fillId="6" borderId="13" xfId="0" applyFill="1" applyBorder="1"/>
    <xf numFmtId="0" fontId="3" fillId="6" borderId="0" xfId="0" applyFont="1" applyFill="1"/>
    <xf numFmtId="0" fontId="8" fillId="6" borderId="0" xfId="0" applyFont="1" applyFill="1"/>
    <xf numFmtId="0" fontId="0" fillId="6" borderId="14" xfId="0" applyFill="1" applyBorder="1"/>
    <xf numFmtId="0" fontId="0" fillId="6" borderId="15" xfId="0" applyFill="1" applyBorder="1"/>
    <xf numFmtId="0" fontId="0" fillId="6" borderId="16" xfId="0" applyFill="1" applyBorder="1"/>
    <xf numFmtId="165" fontId="0" fillId="0" borderId="0" xfId="0" applyNumberFormat="1"/>
    <xf numFmtId="0" fontId="10" fillId="0" borderId="0" xfId="0" applyFont="1"/>
    <xf numFmtId="0" fontId="11" fillId="0" borderId="0" xfId="0" applyFont="1" applyAlignment="1">
      <alignment vertical="top" wrapText="1"/>
    </xf>
    <xf numFmtId="0" fontId="9" fillId="6"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11" fillId="0" borderId="0" xfId="0" applyFont="1" applyAlignment="1">
      <alignment horizontal="left" vertical="top" wrapText="1"/>
    </xf>
    <xf numFmtId="164" fontId="3" fillId="3" borderId="1" xfId="0" applyNumberFormat="1" applyFont="1" applyFill="1" applyBorder="1" applyAlignment="1">
      <alignment horizontal="center" vertical="center"/>
    </xf>
    <xf numFmtId="164" fontId="3" fillId="3" borderId="2" xfId="0" applyNumberFormat="1" applyFont="1" applyFill="1" applyBorder="1" applyAlignment="1">
      <alignment horizontal="center" vertical="center"/>
    </xf>
    <xf numFmtId="164" fontId="3" fillId="3" borderId="3"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 fillId="3" borderId="5" xfId="0" applyNumberFormat="1" applyFont="1" applyFill="1" applyBorder="1" applyAlignment="1">
      <alignment horizontal="center" vertical="center"/>
    </xf>
    <xf numFmtId="164" fontId="3" fillId="3" borderId="6" xfId="0" applyNumberFormat="1" applyFont="1" applyFill="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5" fillId="4" borderId="0" xfId="0" applyFont="1" applyFill="1" applyAlignment="1">
      <alignment horizontal="center" vertical="center"/>
    </xf>
    <xf numFmtId="0" fontId="4"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6" fillId="0" borderId="0" xfId="0" applyNumberFormat="1" applyFont="1"/>
  </cellXfs>
  <cellStyles count="1">
    <cellStyle name="Normal" xfId="0" builtinId="0"/>
  </cellStyles>
  <dxfs count="23">
    <dxf>
      <numFmt numFmtId="166" formatCode="yyyy/mm/dd"/>
    </dxf>
    <dxf>
      <numFmt numFmtId="0" formatCode="General"/>
    </dxf>
    <dxf>
      <numFmt numFmtId="4" formatCode="#,##0.00"/>
    </dxf>
    <dxf>
      <numFmt numFmtId="0" formatCode="General"/>
    </dxf>
    <dxf>
      <numFmt numFmtId="0" formatCode="General"/>
    </dxf>
    <dxf>
      <numFmt numFmtId="0" formatCode="General"/>
    </dxf>
    <dxf>
      <fill>
        <patternFill patternType="solid">
          <bgColor theme="0" tint="-4.9989318521683403E-2"/>
        </patternFill>
      </fill>
    </dxf>
    <dxf>
      <numFmt numFmtId="164" formatCode="&quot;R&quot;#,##0.00"/>
    </dxf>
    <dxf>
      <numFmt numFmtId="164" formatCode="&quot;R&quot;#,##0.00"/>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numFmt numFmtId="165" formatCode="[$R-1C09]#,##0.00"/>
    </dxf>
    <dxf>
      <numFmt numFmtId="4" formatCode="#,##0.00"/>
    </dxf>
    <dxf>
      <numFmt numFmtId="4" formatCode="#,##0.00"/>
    </dxf>
    <dxf>
      <numFmt numFmtId="2" formatCode="0.00"/>
    </dxf>
    <dxf>
      <numFmt numFmtId="4" formatCode="#,##0.00"/>
    </dxf>
    <dxf>
      <numFmt numFmtId="4" formatCode="#,##0.00"/>
    </dxf>
  </dxfs>
  <tableStyles count="0" defaultTableStyle="TableStyleMedium2" defaultPivotStyle="PivotStyleLight16"/>
  <colors>
    <mruColors>
      <color rgb="FFE643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Revenue Comparison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7"/>
              <c:pt idx="0">
                <c:v>Eastern Cape</c:v>
              </c:pt>
              <c:pt idx="1">
                <c:v>Free State</c:v>
              </c:pt>
              <c:pt idx="2">
                <c:v>Gauteng</c:v>
              </c:pt>
              <c:pt idx="3">
                <c:v>KwaZulu-Natal</c:v>
              </c:pt>
              <c:pt idx="4">
                <c:v>Limpopo</c:v>
              </c:pt>
              <c:pt idx="5">
                <c:v>North West</c:v>
              </c:pt>
              <c:pt idx="6">
                <c:v>Western Cape</c:v>
              </c:pt>
            </c:strLit>
          </c:cat>
          <c:val>
            <c:numLit>
              <c:formatCode>General</c:formatCode>
              <c:ptCount val="7"/>
              <c:pt idx="0">
                <c:v>2981638</c:v>
              </c:pt>
              <c:pt idx="1">
                <c:v>3359398</c:v>
              </c:pt>
              <c:pt idx="2">
                <c:v>6231531</c:v>
              </c:pt>
              <c:pt idx="3">
                <c:v>3560630</c:v>
              </c:pt>
              <c:pt idx="4">
                <c:v>3614655</c:v>
              </c:pt>
              <c:pt idx="5">
                <c:v>6201288</c:v>
              </c:pt>
              <c:pt idx="6">
                <c:v>9346198</c:v>
              </c:pt>
            </c:numLit>
          </c:val>
          <c:extLst>
            <c:ext xmlns:c16="http://schemas.microsoft.com/office/drawing/2014/chart" uri="{C3380CC4-5D6E-409C-BE32-E72D297353CC}">
              <c16:uniqueId val="{00000000-90F4-41EB-BAC5-C81C2549767A}"/>
            </c:ext>
          </c:extLst>
        </c:ser>
        <c:dLbls>
          <c:showLegendKey val="0"/>
          <c:showVal val="0"/>
          <c:showCatName val="0"/>
          <c:showSerName val="0"/>
          <c:showPercent val="0"/>
          <c:showBubbleSize val="0"/>
        </c:dLbls>
        <c:gapWidth val="100"/>
        <c:overlap val="-24"/>
        <c:axId val="1353894943"/>
        <c:axId val="1353901663"/>
      </c:barChart>
      <c:catAx>
        <c:axId val="1353894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3901663"/>
        <c:crosses val="autoZero"/>
        <c:auto val="1"/>
        <c:lblAlgn val="ctr"/>
        <c:lblOffset val="100"/>
        <c:noMultiLvlLbl val="0"/>
      </c:catAx>
      <c:valAx>
        <c:axId val="13539016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389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 Data Collection &amp; Management.xlsx]Report!PivotTable1</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ZA" sz="1200" b="1" i="0" u="none" strike="noStrike" baseline="0"/>
              <a:t>Product Performance by Revenue, Units Sold, and Unit Price</a:t>
            </a:r>
            <a:endParaRPr lang="en-ZA"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7292104463615"/>
          <c:y val="0.24369237270750688"/>
          <c:w val="0.8396412948381452"/>
          <c:h val="0.37602266309956367"/>
        </c:manualLayout>
      </c:layout>
      <c:barChart>
        <c:barDir val="col"/>
        <c:grouping val="clustered"/>
        <c:varyColors val="0"/>
        <c:ser>
          <c:idx val="0"/>
          <c:order val="0"/>
          <c:tx>
            <c:strRef>
              <c:f>Report!$J$5</c:f>
              <c:strCache>
                <c:ptCount val="1"/>
                <c:pt idx="0">
                  <c:v>Sum of Revenue</c:v>
                </c:pt>
              </c:strCache>
            </c:strRef>
          </c:tx>
          <c:spPr>
            <a:solidFill>
              <a:schemeClr val="accent1"/>
            </a:solidFill>
            <a:ln>
              <a:noFill/>
            </a:ln>
            <a:effectLst/>
          </c:spPr>
          <c:invertIfNegative val="0"/>
          <c:cat>
            <c:strRef>
              <c:f>Report!$I$6:$I$12</c:f>
              <c:strCache>
                <c:ptCount val="7"/>
                <c:pt idx="0">
                  <c:v>External Hard Drive</c:v>
                </c:pt>
                <c:pt idx="1">
                  <c:v>Headphones</c:v>
                </c:pt>
                <c:pt idx="2">
                  <c:v>Laptop</c:v>
                </c:pt>
                <c:pt idx="3">
                  <c:v>Printer</c:v>
                </c:pt>
                <c:pt idx="4">
                  <c:v>Smartphone</c:v>
                </c:pt>
                <c:pt idx="5">
                  <c:v>Smartwatch</c:v>
                </c:pt>
                <c:pt idx="6">
                  <c:v>Tablet</c:v>
                </c:pt>
              </c:strCache>
            </c:strRef>
          </c:cat>
          <c:val>
            <c:numRef>
              <c:f>Report!$J$6:$J$12</c:f>
              <c:numCache>
                <c:formatCode>"R"#,##0.00</c:formatCode>
                <c:ptCount val="7"/>
                <c:pt idx="0">
                  <c:v>11592</c:v>
                </c:pt>
                <c:pt idx="1">
                  <c:v>346420</c:v>
                </c:pt>
                <c:pt idx="2">
                  <c:v>862678</c:v>
                </c:pt>
                <c:pt idx="3">
                  <c:v>2196934</c:v>
                </c:pt>
                <c:pt idx="4">
                  <c:v>1755032</c:v>
                </c:pt>
                <c:pt idx="5">
                  <c:v>2334954</c:v>
                </c:pt>
                <c:pt idx="6">
                  <c:v>1838588</c:v>
                </c:pt>
              </c:numCache>
            </c:numRef>
          </c:val>
          <c:extLst>
            <c:ext xmlns:c16="http://schemas.microsoft.com/office/drawing/2014/chart" uri="{C3380CC4-5D6E-409C-BE32-E72D297353CC}">
              <c16:uniqueId val="{00000000-6770-4A3A-BB0A-359F4B1D463B}"/>
            </c:ext>
          </c:extLst>
        </c:ser>
        <c:ser>
          <c:idx val="1"/>
          <c:order val="1"/>
          <c:tx>
            <c:strRef>
              <c:f>Report!$K$5</c:f>
              <c:strCache>
                <c:ptCount val="1"/>
                <c:pt idx="0">
                  <c:v>Sum of Units_Sold</c:v>
                </c:pt>
              </c:strCache>
            </c:strRef>
          </c:tx>
          <c:spPr>
            <a:solidFill>
              <a:schemeClr val="accent2"/>
            </a:solidFill>
            <a:ln>
              <a:noFill/>
            </a:ln>
            <a:effectLst/>
          </c:spPr>
          <c:invertIfNegative val="0"/>
          <c:cat>
            <c:strRef>
              <c:f>Report!$I$6:$I$12</c:f>
              <c:strCache>
                <c:ptCount val="7"/>
                <c:pt idx="0">
                  <c:v>External Hard Drive</c:v>
                </c:pt>
                <c:pt idx="1">
                  <c:v>Headphones</c:v>
                </c:pt>
                <c:pt idx="2">
                  <c:v>Laptop</c:v>
                </c:pt>
                <c:pt idx="3">
                  <c:v>Printer</c:v>
                </c:pt>
                <c:pt idx="4">
                  <c:v>Smartphone</c:v>
                </c:pt>
                <c:pt idx="5">
                  <c:v>Smartwatch</c:v>
                </c:pt>
                <c:pt idx="6">
                  <c:v>Tablet</c:v>
                </c:pt>
              </c:strCache>
            </c:strRef>
          </c:cat>
          <c:val>
            <c:numRef>
              <c:f>Report!$K$6:$K$12</c:f>
              <c:numCache>
                <c:formatCode>General</c:formatCode>
                <c:ptCount val="7"/>
                <c:pt idx="0">
                  <c:v>3</c:v>
                </c:pt>
                <c:pt idx="1">
                  <c:v>32</c:v>
                </c:pt>
                <c:pt idx="2">
                  <c:v>77</c:v>
                </c:pt>
                <c:pt idx="3">
                  <c:v>126</c:v>
                </c:pt>
                <c:pt idx="4">
                  <c:v>121</c:v>
                </c:pt>
                <c:pt idx="5">
                  <c:v>133</c:v>
                </c:pt>
                <c:pt idx="6">
                  <c:v>131</c:v>
                </c:pt>
              </c:numCache>
            </c:numRef>
          </c:val>
          <c:extLst>
            <c:ext xmlns:c16="http://schemas.microsoft.com/office/drawing/2014/chart" uri="{C3380CC4-5D6E-409C-BE32-E72D297353CC}">
              <c16:uniqueId val="{00000001-6770-4A3A-BB0A-359F4B1D463B}"/>
            </c:ext>
          </c:extLst>
        </c:ser>
        <c:ser>
          <c:idx val="2"/>
          <c:order val="2"/>
          <c:tx>
            <c:strRef>
              <c:f>Report!$L$5</c:f>
              <c:strCache>
                <c:ptCount val="1"/>
                <c:pt idx="0">
                  <c:v>Sum of Unit_Price</c:v>
                </c:pt>
              </c:strCache>
            </c:strRef>
          </c:tx>
          <c:spPr>
            <a:solidFill>
              <a:schemeClr val="accent3"/>
            </a:solidFill>
            <a:ln>
              <a:noFill/>
            </a:ln>
            <a:effectLst/>
          </c:spPr>
          <c:invertIfNegative val="0"/>
          <c:cat>
            <c:strRef>
              <c:f>Report!$I$6:$I$12</c:f>
              <c:strCache>
                <c:ptCount val="7"/>
                <c:pt idx="0">
                  <c:v>External Hard Drive</c:v>
                </c:pt>
                <c:pt idx="1">
                  <c:v>Headphones</c:v>
                </c:pt>
                <c:pt idx="2">
                  <c:v>Laptop</c:v>
                </c:pt>
                <c:pt idx="3">
                  <c:v>Printer</c:v>
                </c:pt>
                <c:pt idx="4">
                  <c:v>Smartphone</c:v>
                </c:pt>
                <c:pt idx="5">
                  <c:v>Smartwatch</c:v>
                </c:pt>
                <c:pt idx="6">
                  <c:v>Tablet</c:v>
                </c:pt>
              </c:strCache>
            </c:strRef>
          </c:cat>
          <c:val>
            <c:numRef>
              <c:f>Report!$L$6:$L$12</c:f>
              <c:numCache>
                <c:formatCode>"R"#,##0.00</c:formatCode>
                <c:ptCount val="7"/>
                <c:pt idx="0">
                  <c:v>3864</c:v>
                </c:pt>
                <c:pt idx="1">
                  <c:v>40558</c:v>
                </c:pt>
                <c:pt idx="2">
                  <c:v>28934</c:v>
                </c:pt>
                <c:pt idx="3">
                  <c:v>72893</c:v>
                </c:pt>
                <c:pt idx="4">
                  <c:v>43106</c:v>
                </c:pt>
                <c:pt idx="5">
                  <c:v>121642</c:v>
                </c:pt>
                <c:pt idx="6">
                  <c:v>40822</c:v>
                </c:pt>
              </c:numCache>
            </c:numRef>
          </c:val>
          <c:extLst>
            <c:ext xmlns:c16="http://schemas.microsoft.com/office/drawing/2014/chart" uri="{C3380CC4-5D6E-409C-BE32-E72D297353CC}">
              <c16:uniqueId val="{00000002-6770-4A3A-BB0A-359F4B1D463B}"/>
            </c:ext>
          </c:extLst>
        </c:ser>
        <c:dLbls>
          <c:showLegendKey val="0"/>
          <c:showVal val="0"/>
          <c:showCatName val="0"/>
          <c:showSerName val="0"/>
          <c:showPercent val="0"/>
          <c:showBubbleSize val="0"/>
        </c:dLbls>
        <c:gapWidth val="219"/>
        <c:overlap val="-27"/>
        <c:axId val="305156127"/>
        <c:axId val="305157567"/>
      </c:barChart>
      <c:catAx>
        <c:axId val="30515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05157567"/>
        <c:crosses val="autoZero"/>
        <c:auto val="1"/>
        <c:lblAlgn val="ctr"/>
        <c:lblOffset val="100"/>
        <c:noMultiLvlLbl val="0"/>
      </c:catAx>
      <c:valAx>
        <c:axId val="305157567"/>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05156127"/>
        <c:crosses val="autoZero"/>
        <c:crossBetween val="between"/>
      </c:valAx>
      <c:spPr>
        <a:noFill/>
        <a:ln>
          <a:noFill/>
        </a:ln>
        <a:effectLst/>
      </c:spPr>
    </c:plotArea>
    <c:legend>
      <c:legendPos val="b"/>
      <c:layout>
        <c:manualLayout>
          <c:xMode val="edge"/>
          <c:yMode val="edge"/>
          <c:x val="0.139582239720035"/>
          <c:y val="0.90715326451607126"/>
          <c:w val="0.68225167206172876"/>
          <c:h val="6.4483585245209391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9</xdr:col>
      <xdr:colOff>561975</xdr:colOff>
      <xdr:row>0</xdr:row>
      <xdr:rowOff>152400</xdr:rowOff>
    </xdr:from>
    <xdr:to>
      <xdr:col>14</xdr:col>
      <xdr:colOff>85725</xdr:colOff>
      <xdr:row>12</xdr:row>
      <xdr:rowOff>57150</xdr:rowOff>
    </xdr:to>
    <xdr:pic>
      <xdr:nvPicPr>
        <xdr:cNvPr id="2" name="Picture 1">
          <a:extLst>
            <a:ext uri="{FF2B5EF4-FFF2-40B4-BE49-F238E27FC236}">
              <a16:creationId xmlns:a16="http://schemas.microsoft.com/office/drawing/2014/main" id="{2A751C11-A644-D9B6-30D5-88B0C5BD4B9E}"/>
            </a:ext>
          </a:extLst>
        </xdr:cNvPr>
        <xdr:cNvPicPr>
          <a:picLocks noChangeAspect="1"/>
        </xdr:cNvPicPr>
      </xdr:nvPicPr>
      <xdr:blipFill>
        <a:blip xmlns:r="http://schemas.openxmlformats.org/officeDocument/2006/relationships" r:embed="rId1"/>
        <a:stretch>
          <a:fillRect/>
        </a:stretch>
      </xdr:blipFill>
      <xdr:spPr>
        <a:xfrm>
          <a:off x="6048375" y="152400"/>
          <a:ext cx="2571750" cy="2190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xdr:colOff>
      <xdr:row>1</xdr:row>
      <xdr:rowOff>0</xdr:rowOff>
    </xdr:from>
    <xdr:to>
      <xdr:col>20</xdr:col>
      <xdr:colOff>533400</xdr:colOff>
      <xdr:row>7</xdr:row>
      <xdr:rowOff>167640</xdr:rowOff>
    </xdr:to>
    <xdr:sp macro="" textlink="">
      <xdr:nvSpPr>
        <xdr:cNvPr id="2" name="TextBox 1">
          <a:extLst>
            <a:ext uri="{FF2B5EF4-FFF2-40B4-BE49-F238E27FC236}">
              <a16:creationId xmlns:a16="http://schemas.microsoft.com/office/drawing/2014/main" id="{EC00E470-B064-8F21-A354-5C2FA06F45FC}"/>
            </a:ext>
          </a:extLst>
        </xdr:cNvPr>
        <xdr:cNvSpPr txBox="1"/>
      </xdr:nvSpPr>
      <xdr:spPr>
        <a:xfrm>
          <a:off x="7324725" y="190500"/>
          <a:ext cx="7239000" cy="1310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200">
              <a:latin typeface="Calibri" panose="020F0502020204030204" pitchFamily="34" charset="0"/>
              <a:cs typeface="Calibri" panose="020F0502020204030204" pitchFamily="34" charset="0"/>
            </a:rPr>
            <a:t>The dataset contains </a:t>
          </a:r>
          <a:r>
            <a:rPr lang="en-ZA" sz="1200" b="1">
              <a:latin typeface="Calibri" panose="020F0502020204030204" pitchFamily="34" charset="0"/>
              <a:cs typeface="Calibri" panose="020F0502020204030204" pitchFamily="34" charset="0"/>
            </a:rPr>
            <a:t>structured data </a:t>
          </a:r>
          <a:r>
            <a:rPr lang="en-ZA" sz="1200">
              <a:latin typeface="Calibri" panose="020F0502020204030204" pitchFamily="34" charset="0"/>
              <a:cs typeface="Calibri" panose="020F0502020204030204" pitchFamily="34" charset="0"/>
            </a:rPr>
            <a:t>because it is organized into clearly defined rows and columns with consistent data types. Each column represents a specific variable (e.g., product, region, units sold. This structured organization enables efficient data storage, retrieval, and analysis using spreadsheet and analytical tools such as Microsoft Excel. The values follow predictable formats such as numbers (Units_Sold, Unit_Price, Revenue) and dates (Order_Date). This tabular organization is characteristic of structured datasets used in data analytics.</a:t>
          </a:r>
          <a:endParaRPr lang="en-ZA"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209550</xdr:colOff>
      <xdr:row>11</xdr:row>
      <xdr:rowOff>156210</xdr:rowOff>
    </xdr:from>
    <xdr:to>
      <xdr:col>21</xdr:col>
      <xdr:colOff>95250</xdr:colOff>
      <xdr:row>37</xdr:row>
      <xdr:rowOff>38100</xdr:rowOff>
    </xdr:to>
    <xdr:sp macro="" textlink="">
      <xdr:nvSpPr>
        <xdr:cNvPr id="3" name="TextBox 2">
          <a:extLst>
            <a:ext uri="{FF2B5EF4-FFF2-40B4-BE49-F238E27FC236}">
              <a16:creationId xmlns:a16="http://schemas.microsoft.com/office/drawing/2014/main" id="{517378E1-9A44-43DA-3C0F-6A8DAB5B0F89}"/>
            </a:ext>
            <a:ext uri="{147F2762-F138-4A5C-976F-8EAC2B608ADB}">
              <a16:predDERef xmlns:a16="http://schemas.microsoft.com/office/drawing/2014/main" pred="{EC00E470-B064-8F21-A354-5C2FA06F45FC}"/>
            </a:ext>
          </a:extLst>
        </xdr:cNvPr>
        <xdr:cNvSpPr txBox="1"/>
      </xdr:nvSpPr>
      <xdr:spPr>
        <a:xfrm>
          <a:off x="7124700" y="2251710"/>
          <a:ext cx="7219950" cy="4834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200" b="1">
              <a:latin typeface="Calibri" panose="020F0502020204030204" pitchFamily="34" charset="0"/>
              <a:ea typeface="Calibri" panose="020F0502020204030204" pitchFamily="34" charset="0"/>
              <a:cs typeface="Calibri" panose="020F0502020204030204" pitchFamily="34" charset="0"/>
            </a:rPr>
            <a:t>Columns in the dataset</a:t>
          </a:r>
        </a:p>
        <a:p>
          <a:br>
            <a:rPr lang="en-ZA" sz="1200">
              <a:latin typeface="Calibri" panose="020F0502020204030204" pitchFamily="34" charset="0"/>
              <a:ea typeface="Calibri" panose="020F0502020204030204" pitchFamily="34" charset="0"/>
              <a:cs typeface="Calibri" panose="020F0502020204030204" pitchFamily="34" charset="0"/>
            </a:rPr>
          </a:br>
          <a:r>
            <a:rPr lang="en-ZA" sz="1200" b="1">
              <a:latin typeface="Calibri" panose="020F0502020204030204" pitchFamily="34" charset="0"/>
              <a:cs typeface="Calibri" panose="020F0502020204030204" pitchFamily="34" charset="0"/>
            </a:rPr>
            <a:t>Order_ID</a:t>
          </a:r>
        </a:p>
        <a:p>
          <a:r>
            <a:rPr lang="en-ZA" sz="1200">
              <a:latin typeface="Calibri" panose="020F0502020204030204" pitchFamily="34" charset="0"/>
              <a:cs typeface="Calibri" panose="020F0502020204030204" pitchFamily="34" charset="0"/>
            </a:rPr>
            <a:t>A unique identifier assigned to each sales transaction. It helps distinguish one order from another and is useful for tracking and referencing records.</a:t>
          </a:r>
        </a:p>
        <a:p>
          <a:r>
            <a:rPr lang="en-ZA" sz="1200">
              <a:latin typeface="Calibri" panose="020F0502020204030204" pitchFamily="34" charset="0"/>
              <a:cs typeface="Calibri" panose="020F0502020204030204" pitchFamily="34" charset="0"/>
            </a:rPr>
            <a:t> </a:t>
          </a:r>
        </a:p>
        <a:p>
          <a:r>
            <a:rPr lang="en-ZA" sz="1200" b="1">
              <a:latin typeface="Calibri" panose="020F0502020204030204" pitchFamily="34" charset="0"/>
              <a:cs typeface="Calibri" panose="020F0502020204030204" pitchFamily="34" charset="0"/>
            </a:rPr>
            <a:t>Product</a:t>
          </a:r>
        </a:p>
        <a:p>
          <a:r>
            <a:rPr lang="en-ZA" sz="1200">
              <a:latin typeface="Calibri" panose="020F0502020204030204" pitchFamily="34" charset="0"/>
              <a:cs typeface="Calibri" panose="020F0502020204030204" pitchFamily="34" charset="0"/>
            </a:rPr>
            <a:t>Indicates the item that was sold (e.g., Printer, Laptop, Smartphone). This column supports product-level analysis such as best-selling items.</a:t>
          </a:r>
        </a:p>
        <a:p>
          <a:r>
            <a:rPr lang="en-ZA" sz="1200">
              <a:latin typeface="Calibri" panose="020F0502020204030204" pitchFamily="34" charset="0"/>
              <a:cs typeface="Calibri" panose="020F0502020204030204" pitchFamily="34" charset="0"/>
            </a:rPr>
            <a:t> </a:t>
          </a:r>
        </a:p>
        <a:p>
          <a:r>
            <a:rPr lang="en-ZA" sz="1200" b="1">
              <a:latin typeface="Calibri" panose="020F0502020204030204" pitchFamily="34" charset="0"/>
              <a:cs typeface="Calibri" panose="020F0502020204030204" pitchFamily="34" charset="0"/>
            </a:rPr>
            <a:t>Region</a:t>
          </a:r>
        </a:p>
        <a:p>
          <a:r>
            <a:rPr lang="en-ZA" sz="1200">
              <a:latin typeface="Calibri" panose="020F0502020204030204" pitchFamily="34" charset="0"/>
              <a:cs typeface="Calibri" panose="020F0502020204030204" pitchFamily="34" charset="0"/>
            </a:rPr>
            <a:t>Specifies the geographic location where the sale occurred (e.g., Western Cape, Limpopo). It is used for regional performance comparisons.</a:t>
          </a:r>
        </a:p>
        <a:p>
          <a:r>
            <a:rPr lang="en-ZA" sz="1200">
              <a:latin typeface="Calibri" panose="020F0502020204030204" pitchFamily="34" charset="0"/>
              <a:cs typeface="Calibri" panose="020F0502020204030204" pitchFamily="34" charset="0"/>
            </a:rPr>
            <a:t> </a:t>
          </a:r>
        </a:p>
        <a:p>
          <a:r>
            <a:rPr lang="en-ZA" sz="1200" b="1">
              <a:latin typeface="Calibri" panose="020F0502020204030204" pitchFamily="34" charset="0"/>
              <a:cs typeface="Calibri" panose="020F0502020204030204" pitchFamily="34" charset="0"/>
            </a:rPr>
            <a:t>Units_Sold</a:t>
          </a:r>
        </a:p>
        <a:p>
          <a:r>
            <a:rPr lang="en-ZA" sz="1200">
              <a:latin typeface="Calibri" panose="020F0502020204030204" pitchFamily="34" charset="0"/>
              <a:cs typeface="Calibri" panose="020F0502020204030204" pitchFamily="34" charset="0"/>
            </a:rPr>
            <a:t>Shows the quantity of products sold in each order. This is essential for measuring sales volume and demand.</a:t>
          </a:r>
        </a:p>
        <a:p>
          <a:r>
            <a:rPr lang="en-ZA" sz="1200">
              <a:latin typeface="Calibri" panose="020F0502020204030204" pitchFamily="34" charset="0"/>
              <a:cs typeface="Calibri" panose="020F0502020204030204" pitchFamily="34" charset="0"/>
            </a:rPr>
            <a:t> </a:t>
          </a:r>
        </a:p>
        <a:p>
          <a:r>
            <a:rPr lang="en-ZA" sz="1200" b="1">
              <a:latin typeface="Calibri" panose="020F0502020204030204" pitchFamily="34" charset="0"/>
              <a:cs typeface="Calibri" panose="020F0502020204030204" pitchFamily="34" charset="0"/>
            </a:rPr>
            <a:t>Unit_Price</a:t>
          </a:r>
        </a:p>
        <a:p>
          <a:r>
            <a:rPr lang="en-ZA" sz="1200">
              <a:latin typeface="Calibri" panose="020F0502020204030204" pitchFamily="34" charset="0"/>
              <a:cs typeface="Calibri" panose="020F0502020204030204" pitchFamily="34" charset="0"/>
            </a:rPr>
            <a:t>Represents the selling price per individual unit of the product. It helps calculate revenue and analyse pricing strategies.</a:t>
          </a:r>
        </a:p>
        <a:p>
          <a:r>
            <a:rPr lang="en-ZA" sz="1200">
              <a:latin typeface="Calibri" panose="020F0502020204030204" pitchFamily="34" charset="0"/>
              <a:cs typeface="Calibri" panose="020F0502020204030204" pitchFamily="34" charset="0"/>
            </a:rPr>
            <a:t> </a:t>
          </a:r>
        </a:p>
        <a:p>
          <a:r>
            <a:rPr lang="en-ZA" sz="1200" b="1">
              <a:latin typeface="Calibri" panose="020F0502020204030204" pitchFamily="34" charset="0"/>
              <a:cs typeface="Calibri" panose="020F0502020204030204" pitchFamily="34" charset="0"/>
            </a:rPr>
            <a:t>Revenue</a:t>
          </a:r>
        </a:p>
        <a:p>
          <a:r>
            <a:rPr lang="en-ZA" sz="1200">
              <a:latin typeface="Calibri" panose="020F0502020204030204" pitchFamily="34" charset="0"/>
              <a:cs typeface="Calibri" panose="020F0502020204030204" pitchFamily="34" charset="0"/>
            </a:rPr>
            <a:t>Displays the total income generated from the order. Typically calculated as:</a:t>
          </a:r>
        </a:p>
        <a:p>
          <a:r>
            <a:rPr lang="en-ZA" sz="1200">
              <a:latin typeface="Calibri" panose="020F0502020204030204" pitchFamily="34" charset="0"/>
              <a:cs typeface="Calibri" panose="020F0502020204030204" pitchFamily="34" charset="0"/>
            </a:rPr>
            <a:t>Revenue = Units_Sold × Unit_Price</a:t>
          </a:r>
        </a:p>
        <a:p>
          <a:endParaRPr lang="en-Z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9525</xdr:rowOff>
    </xdr:from>
    <xdr:to>
      <xdr:col>10</xdr:col>
      <xdr:colOff>457200</xdr:colOff>
      <xdr:row>22</xdr:row>
      <xdr:rowOff>95250</xdr:rowOff>
    </xdr:to>
    <xdr:graphicFrame macro="">
      <xdr:nvGraphicFramePr>
        <xdr:cNvPr id="2" name="Chart 1">
          <a:extLst>
            <a:ext uri="{FF2B5EF4-FFF2-40B4-BE49-F238E27FC236}">
              <a16:creationId xmlns:a16="http://schemas.microsoft.com/office/drawing/2014/main" id="{ED46CC95-8CD5-44CB-9C4A-DC1E71B12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19050</xdr:colOff>
      <xdr:row>4</xdr:row>
      <xdr:rowOff>0</xdr:rowOff>
    </xdr:from>
    <xdr:to>
      <xdr:col>7</xdr:col>
      <xdr:colOff>190500</xdr:colOff>
      <xdr:row>16</xdr:row>
      <xdr:rowOff>152400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10EAEA5-2D3E-7136-37E6-E7F61E0C03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9732" y="728230"/>
              <a:ext cx="1383723" cy="244272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17</xdr:row>
      <xdr:rowOff>161925</xdr:rowOff>
    </xdr:from>
    <xdr:to>
      <xdr:col>7</xdr:col>
      <xdr:colOff>180975</xdr:colOff>
      <xdr:row>29</xdr:row>
      <xdr:rowOff>9525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6C00553C-9419-9144-C885-E493B57DD149}"/>
                </a:ext>
                <a:ext uri="{147F2762-F138-4A5C-976F-8EAC2B608ADB}">
                  <a16:predDERef xmlns:a16="http://schemas.microsoft.com/office/drawing/2014/main" pred="{C10EAEA5-2D3E-7136-37E6-E7F61E0C03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30682" y="3446318"/>
              <a:ext cx="1393248" cy="213966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13</xdr:row>
      <xdr:rowOff>14286</xdr:rowOff>
    </xdr:from>
    <xdr:to>
      <xdr:col>12</xdr:col>
      <xdr:colOff>9525</xdr:colOff>
      <xdr:row>29</xdr:row>
      <xdr:rowOff>0</xdr:rowOff>
    </xdr:to>
    <xdr:graphicFrame macro="">
      <xdr:nvGraphicFramePr>
        <xdr:cNvPr id="8" name="Chart 7">
          <a:extLst>
            <a:ext uri="{FF2B5EF4-FFF2-40B4-BE49-F238E27FC236}">
              <a16:creationId xmlns:a16="http://schemas.microsoft.com/office/drawing/2014/main" id="{B2CBD6DF-EFEC-21D2-1F16-D4871DE20F6A}"/>
            </a:ext>
            <a:ext uri="{147F2762-F138-4A5C-976F-8EAC2B608ADB}">
              <a16:predDERef xmlns:a16="http://schemas.microsoft.com/office/drawing/2014/main" pred="{6C00553C-9419-9144-C885-E493B57DD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124022</xdr:colOff>
      <xdr:row>0</xdr:row>
      <xdr:rowOff>28772</xdr:rowOff>
    </xdr:from>
    <xdr:to>
      <xdr:col>5</xdr:col>
      <xdr:colOff>597477</xdr:colOff>
      <xdr:row>2</xdr:row>
      <xdr:rowOff>121573</xdr:rowOff>
    </xdr:to>
    <xdr:pic>
      <xdr:nvPicPr>
        <xdr:cNvPr id="12" name="Graphic 11" descr="Register with solid fill">
          <a:extLst>
            <a:ext uri="{FF2B5EF4-FFF2-40B4-BE49-F238E27FC236}">
              <a16:creationId xmlns:a16="http://schemas.microsoft.com/office/drawing/2014/main" id="{C4CB9F79-C0C1-3014-DF78-4309991B957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54704" y="89386"/>
          <a:ext cx="473455" cy="473801"/>
        </a:xfrm>
        <a:prstGeom prst="rect">
          <a:avLst/>
        </a:prstGeom>
      </xdr:spPr>
    </xdr:pic>
    <xdr:clientData/>
  </xdr:twoCellAnchor>
  <xdr:twoCellAnchor>
    <xdr:from>
      <xdr:col>14</xdr:col>
      <xdr:colOff>414102</xdr:colOff>
      <xdr:row>0</xdr:row>
      <xdr:rowOff>51285</xdr:rowOff>
    </xdr:from>
    <xdr:to>
      <xdr:col>14</xdr:col>
      <xdr:colOff>887557</xdr:colOff>
      <xdr:row>2</xdr:row>
      <xdr:rowOff>144086</xdr:rowOff>
    </xdr:to>
    <xdr:pic>
      <xdr:nvPicPr>
        <xdr:cNvPr id="18" name="Graphic 17" descr="Register with solid fill">
          <a:extLst>
            <a:ext uri="{FF2B5EF4-FFF2-40B4-BE49-F238E27FC236}">
              <a16:creationId xmlns:a16="http://schemas.microsoft.com/office/drawing/2014/main" id="{20A04190-6E86-4138-8F19-CE2ECFC9D957}"/>
            </a:ext>
            <a:ext uri="{147F2762-F138-4A5C-976F-8EAC2B608ADB}">
              <a16:predDERef xmlns:a16="http://schemas.microsoft.com/office/drawing/2014/main" pred="{C4CB9F79-C0C1-3014-DF78-4309991B957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34402" y="108435"/>
          <a:ext cx="473455" cy="4738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89104166663" createdVersion="8" refreshedVersion="8" minRefreshableVersion="3" recordCount="100" xr:uid="{D484D5A0-E8B4-4919-8D07-8A46CA3445FE}">
  <cacheSource type="worksheet">
    <worksheetSource name="Week_2_Sales_Data"/>
  </cacheSource>
  <cacheFields count="10">
    <cacheField name="Order_ID" numFmtId="0">
      <sharedItems/>
    </cacheField>
    <cacheField name="Product" numFmtId="0">
      <sharedItems count="7">
        <s v="Printer"/>
        <s v="Headphones"/>
        <s v="Laptop"/>
        <s v="External Hard Drive"/>
        <s v="Smartphone"/>
        <s v="Smartwatch"/>
        <s v="Tablet"/>
      </sharedItems>
    </cacheField>
    <cacheField name="Region" numFmtId="0">
      <sharedItems count="7">
        <s v="Limpopo"/>
        <s v="Western Cape"/>
        <s v="KwaZulu-Natal"/>
        <s v="North West"/>
        <s v="Free State"/>
        <s v="Gauteng"/>
        <s v="Eastern Cape"/>
      </sharedItems>
    </cacheField>
    <cacheField name="Units_Sold" numFmtId="0">
      <sharedItems containsSemiMixedTypes="0" containsString="0" containsNumber="1" containsInteger="1" minValue="2" maxValue="49" count="41">
        <n v="45"/>
        <n v="16"/>
        <n v="21"/>
        <n v="41"/>
        <n v="34"/>
        <n v="5"/>
        <n v="20"/>
        <n v="30"/>
        <n v="39"/>
        <n v="7"/>
        <n v="37"/>
        <n v="46"/>
        <n v="3"/>
        <n v="35"/>
        <n v="43"/>
        <n v="25"/>
        <n v="18"/>
        <n v="23"/>
        <n v="13"/>
        <n v="42"/>
        <n v="14"/>
        <n v="36"/>
        <n v="19"/>
        <n v="28"/>
        <n v="4"/>
        <n v="2"/>
        <n v="44"/>
        <n v="40"/>
        <n v="6"/>
        <n v="33"/>
        <n v="24"/>
        <n v="47"/>
        <n v="27"/>
        <n v="26"/>
        <n v="48"/>
        <n v="49"/>
        <n v="11"/>
        <n v="22"/>
        <n v="31"/>
        <n v="9"/>
        <n v="17"/>
      </sharedItems>
    </cacheField>
    <cacheField name="Unit_Price" numFmtId="0">
      <sharedItems containsSemiMixedTypes="0" containsString="0" containsNumber="1" containsInteger="1" minValue="927" maxValue="24995"/>
    </cacheField>
    <cacheField name="Revenue" numFmtId="0">
      <sharedItems containsSemiMixedTypes="0" containsString="0" containsNumber="1" containsInteger="1" minValue="7914" maxValue="1040204"/>
    </cacheField>
    <cacheField name="Sales_Rep" numFmtId="0">
      <sharedItems/>
    </cacheField>
    <cacheField name="Order_Date" numFmtId="14">
      <sharedItems containsSemiMixedTypes="0" containsNonDate="0" containsDate="1" containsString="0" minDate="2024-01-01T00:00:00" maxDate="2024-06-30T00:00:00" count="80">
        <d v="2024-03-28T00:00:00"/>
        <d v="2024-04-11T00:00:00"/>
        <d v="2024-05-18T00:00:00"/>
        <d v="2024-05-16T00:00:00"/>
        <d v="2024-02-21T00:00:00"/>
        <d v="2024-03-29T00:00:00"/>
        <d v="2024-03-27T00:00:00"/>
        <d v="2024-01-17T00:00:00"/>
        <d v="2024-05-05T00:00:00"/>
        <d v="2024-05-23T00:00:00"/>
        <d v="2024-06-26T00:00:00"/>
        <d v="2024-01-25T00:00:00"/>
        <d v="2024-06-05T00:00:00"/>
        <d v="2024-05-29T00:00:00"/>
        <d v="2024-04-25T00:00:00"/>
        <d v="2024-01-15T00:00:00"/>
        <d v="2024-05-30T00:00:00"/>
        <d v="2024-03-25T00:00:00"/>
        <d v="2024-03-08T00:00:00"/>
        <d v="2024-03-14T00:00:00"/>
        <d v="2024-05-21T00:00:00"/>
        <d v="2024-06-24T00:00:00"/>
        <d v="2024-01-30T00:00:00"/>
        <d v="2024-01-23T00:00:00"/>
        <d v="2024-01-09T00:00:00"/>
        <d v="2024-03-10T00:00:00"/>
        <d v="2024-04-29T00:00:00"/>
        <d v="2024-06-12T00:00:00"/>
        <d v="2024-01-16T00:00:00"/>
        <d v="2024-04-02T00:00:00"/>
        <d v="2024-02-12T00:00:00"/>
        <d v="2024-04-01T00:00:00"/>
        <d v="2024-01-20T00:00:00"/>
        <d v="2024-02-26T00:00:00"/>
        <d v="2024-05-03T00:00:00"/>
        <d v="2024-02-07T00:00:00"/>
        <d v="2024-06-14T00:00:00"/>
        <d v="2024-01-01T00:00:00"/>
        <d v="2024-02-29T00:00:00"/>
        <d v="2024-04-06T00:00:00"/>
        <d v="2024-01-21T00:00:00"/>
        <d v="2024-04-09T00:00:00"/>
        <d v="2024-02-11T00:00:00"/>
        <d v="2024-03-16T00:00:00"/>
        <d v="2024-01-26T00:00:00"/>
        <d v="2024-01-02T00:00:00"/>
        <d v="2024-01-10T00:00:00"/>
        <d v="2024-06-29T00:00:00"/>
        <d v="2024-02-20T00:00:00"/>
        <d v="2024-01-13T00:00:00"/>
        <d v="2024-02-16T00:00:00"/>
        <d v="2024-05-31T00:00:00"/>
        <d v="2024-04-26T00:00:00"/>
        <d v="2024-06-23T00:00:00"/>
        <d v="2024-02-15T00:00:00"/>
        <d v="2024-01-19T00:00:00"/>
        <d v="2024-06-02T00:00:00"/>
        <d v="2024-03-05T00:00:00"/>
        <d v="2024-06-10T00:00:00"/>
        <d v="2024-04-23T00:00:00"/>
        <d v="2024-04-21T00:00:00"/>
        <d v="2024-05-13T00:00:00"/>
        <d v="2024-06-07T00:00:00"/>
        <d v="2024-04-28T00:00:00"/>
        <d v="2024-03-24T00:00:00"/>
        <d v="2024-05-22T00:00:00"/>
        <d v="2024-06-13T00:00:00"/>
        <d v="2024-02-09T00:00:00"/>
        <d v="2024-01-27T00:00:00"/>
        <d v="2024-01-05T00:00:00"/>
        <d v="2024-02-08T00:00:00"/>
        <d v="2024-04-08T00:00:00"/>
        <d v="2024-03-11T00:00:00"/>
        <d v="2024-06-06T00:00:00"/>
        <d v="2024-06-21T00:00:00"/>
        <d v="2024-06-08T00:00:00"/>
        <d v="2024-04-16T00:00:00"/>
        <d v="2024-05-06T00:00:00"/>
        <d v="2024-01-04T00:00:00"/>
        <d v="2024-05-17T00:00:00"/>
      </sharedItems>
      <fieldGroup par="9"/>
    </cacheField>
    <cacheField name="Days (Order_Date)" numFmtId="0" databaseField="0">
      <fieldGroup base="7">
        <rangePr groupBy="days" startDate="2024-01-01T00:00:00" endDate="2024-06-30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4"/>
        </groupItems>
      </fieldGroup>
    </cacheField>
    <cacheField name="Months (Order_Date)" numFmtId="0" databaseField="0">
      <fieldGroup base="7">
        <rangePr groupBy="months" startDate="2024-01-01T00:00:00" endDate="2024-06-30T00:00:00"/>
        <groupItems count="14">
          <s v="&lt;1/1/2024"/>
          <s v="Jan"/>
          <s v="Feb"/>
          <s v="Mar"/>
          <s v="Apr"/>
          <s v="May"/>
          <s v="Jun"/>
          <s v="Jul"/>
          <s v="Aug"/>
          <s v="Sep"/>
          <s v="Oct"/>
          <s v="Nov"/>
          <s v="Dec"/>
          <s v="&gt;6/30/2024"/>
        </groupItems>
      </fieldGroup>
    </cacheField>
  </cacheFields>
  <extLst>
    <ext xmlns:x14="http://schemas.microsoft.com/office/spreadsheetml/2009/9/main" uri="{725AE2AE-9491-48be-B2B4-4EB974FC3084}">
      <x14:pivotCacheDefinition pivotCacheId="14156241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 refreshedDate="46071.464839814813" createdVersion="8" refreshedVersion="8" minRefreshableVersion="3" recordCount="7" xr:uid="{1C5150D0-1A72-45CB-BDDA-00A90ED39A18}">
  <cacheSource type="worksheet">
    <worksheetSource ref="I5:J12" sheet="Report"/>
  </cacheSource>
  <cacheFields count="2">
    <cacheField name="Products" numFmtId="0">
      <sharedItems count="7">
        <s v="External Hard Drive"/>
        <s v="Headphones"/>
        <s v="Laptop"/>
        <s v="Printer"/>
        <s v="Smartphone"/>
        <s v="Smartwatch"/>
        <s v="Tablet"/>
      </sharedItems>
    </cacheField>
    <cacheField name="Sum of Revenue" numFmtId="0">
      <sharedItems containsSemiMixedTypes="0" containsString="0" containsNumber="1" containsInteger="1" minValue="2839222" maxValue="72677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x v="0"/>
    <x v="0"/>
    <n v="2985"/>
    <n v="134325"/>
    <s v="Rep-2"/>
    <x v="0"/>
  </r>
  <r>
    <s v="ORD002"/>
    <x v="1"/>
    <x v="1"/>
    <x v="1"/>
    <n v="15076"/>
    <n v="241216"/>
    <s v="Rep-18"/>
    <x v="1"/>
  </r>
  <r>
    <s v="ORD003"/>
    <x v="2"/>
    <x v="1"/>
    <x v="0"/>
    <n v="14860"/>
    <n v="668700"/>
    <s v="Rep-16"/>
    <x v="2"/>
  </r>
  <r>
    <s v="ORD004"/>
    <x v="3"/>
    <x v="2"/>
    <x v="2"/>
    <n v="16237"/>
    <n v="340977"/>
    <s v="Rep-3"/>
    <x v="3"/>
  </r>
  <r>
    <s v="ORD005"/>
    <x v="4"/>
    <x v="1"/>
    <x v="3"/>
    <n v="9420"/>
    <n v="386220"/>
    <s v="Rep-17"/>
    <x v="4"/>
  </r>
  <r>
    <s v="ORD006"/>
    <x v="5"/>
    <x v="3"/>
    <x v="4"/>
    <n v="9745"/>
    <n v="331330"/>
    <s v="Rep-19"/>
    <x v="5"/>
  </r>
  <r>
    <s v="ORD007"/>
    <x v="6"/>
    <x v="4"/>
    <x v="5"/>
    <n v="17173"/>
    <n v="85865"/>
    <s v="Rep-1"/>
    <x v="6"/>
  </r>
  <r>
    <s v="ORD008"/>
    <x v="5"/>
    <x v="5"/>
    <x v="6"/>
    <n v="1392"/>
    <n v="27840"/>
    <s v="Rep-7"/>
    <x v="7"/>
  </r>
  <r>
    <s v="ORD009"/>
    <x v="1"/>
    <x v="6"/>
    <x v="7"/>
    <n v="10614"/>
    <n v="318420"/>
    <s v="Rep-15"/>
    <x v="8"/>
  </r>
  <r>
    <s v="ORD010"/>
    <x v="5"/>
    <x v="0"/>
    <x v="8"/>
    <n v="20114"/>
    <n v="784446"/>
    <s v="Rep-14"/>
    <x v="7"/>
  </r>
  <r>
    <s v="ORD011"/>
    <x v="0"/>
    <x v="5"/>
    <x v="9"/>
    <n v="11665"/>
    <n v="81655"/>
    <s v="Rep-12"/>
    <x v="9"/>
  </r>
  <r>
    <s v="ORD012"/>
    <x v="5"/>
    <x v="2"/>
    <x v="1"/>
    <n v="24838"/>
    <n v="397408"/>
    <s v="Rep-14"/>
    <x v="10"/>
  </r>
  <r>
    <s v="ORD013"/>
    <x v="0"/>
    <x v="1"/>
    <x v="10"/>
    <n v="14447"/>
    <n v="534539"/>
    <s v="Rep-20"/>
    <x v="11"/>
  </r>
  <r>
    <s v="ORD014"/>
    <x v="4"/>
    <x v="1"/>
    <x v="11"/>
    <n v="18624"/>
    <n v="856704"/>
    <s v="Rep-13"/>
    <x v="12"/>
  </r>
  <r>
    <s v="ORD015"/>
    <x v="5"/>
    <x v="1"/>
    <x v="12"/>
    <n v="14424"/>
    <n v="43272"/>
    <s v="Rep-11"/>
    <x v="13"/>
  </r>
  <r>
    <s v="ORD016"/>
    <x v="5"/>
    <x v="5"/>
    <x v="10"/>
    <n v="10416"/>
    <n v="385392"/>
    <s v="Rep-13"/>
    <x v="14"/>
  </r>
  <r>
    <s v="ORD017"/>
    <x v="0"/>
    <x v="6"/>
    <x v="12"/>
    <n v="7002"/>
    <n v="21006"/>
    <s v="Rep-12"/>
    <x v="15"/>
  </r>
  <r>
    <s v="ORD018"/>
    <x v="0"/>
    <x v="3"/>
    <x v="6"/>
    <n v="16955"/>
    <n v="339100"/>
    <s v="Rep-14"/>
    <x v="16"/>
  </r>
  <r>
    <s v="ORD019"/>
    <x v="5"/>
    <x v="1"/>
    <x v="6"/>
    <n v="13113"/>
    <n v="262260"/>
    <s v="Rep-7"/>
    <x v="17"/>
  </r>
  <r>
    <s v="ORD020"/>
    <x v="5"/>
    <x v="5"/>
    <x v="8"/>
    <n v="5363"/>
    <n v="209157"/>
    <s v="Rep-8"/>
    <x v="18"/>
  </r>
  <r>
    <s v="ORD021"/>
    <x v="0"/>
    <x v="1"/>
    <x v="13"/>
    <n v="10579"/>
    <n v="370265"/>
    <s v="Rep-1"/>
    <x v="19"/>
  </r>
  <r>
    <s v="ORD022"/>
    <x v="1"/>
    <x v="2"/>
    <x v="14"/>
    <n v="7719"/>
    <n v="331917"/>
    <s v="Rep-15"/>
    <x v="20"/>
  </r>
  <r>
    <s v="ORD023"/>
    <x v="4"/>
    <x v="0"/>
    <x v="15"/>
    <n v="927"/>
    <n v="23175"/>
    <s v="Rep-15"/>
    <x v="21"/>
  </r>
  <r>
    <s v="ORD024"/>
    <x v="6"/>
    <x v="5"/>
    <x v="16"/>
    <n v="11889"/>
    <n v="214002"/>
    <s v="Rep-19"/>
    <x v="22"/>
  </r>
  <r>
    <s v="ORD025"/>
    <x v="6"/>
    <x v="6"/>
    <x v="17"/>
    <n v="10409"/>
    <n v="239407"/>
    <s v="Rep-4"/>
    <x v="23"/>
  </r>
  <r>
    <s v="ORD026"/>
    <x v="3"/>
    <x v="2"/>
    <x v="18"/>
    <n v="11876"/>
    <n v="154388"/>
    <s v="Rep-20"/>
    <x v="24"/>
  </r>
  <r>
    <s v="ORD027"/>
    <x v="1"/>
    <x v="3"/>
    <x v="19"/>
    <n v="20811"/>
    <n v="874062"/>
    <s v="Rep-2"/>
    <x v="0"/>
  </r>
  <r>
    <s v="ORD028"/>
    <x v="2"/>
    <x v="0"/>
    <x v="20"/>
    <n v="19935"/>
    <n v="279090"/>
    <s v="Rep-9"/>
    <x v="25"/>
  </r>
  <r>
    <s v="ORD029"/>
    <x v="1"/>
    <x v="5"/>
    <x v="10"/>
    <n v="21001"/>
    <n v="777037"/>
    <s v="Rep-1"/>
    <x v="26"/>
  </r>
  <r>
    <s v="ORD030"/>
    <x v="5"/>
    <x v="2"/>
    <x v="6"/>
    <n v="10158"/>
    <n v="203160"/>
    <s v="Rep-1"/>
    <x v="27"/>
  </r>
  <r>
    <s v="ORD031"/>
    <x v="5"/>
    <x v="1"/>
    <x v="1"/>
    <n v="24995"/>
    <n v="399920"/>
    <s v="Rep-14"/>
    <x v="28"/>
  </r>
  <r>
    <s v="ORD032"/>
    <x v="3"/>
    <x v="3"/>
    <x v="21"/>
    <n v="20291"/>
    <n v="730476"/>
    <s v="Rep-19"/>
    <x v="29"/>
  </r>
  <r>
    <s v="ORD033"/>
    <x v="4"/>
    <x v="6"/>
    <x v="22"/>
    <n v="5772"/>
    <n v="109668"/>
    <s v="Rep-4"/>
    <x v="30"/>
  </r>
  <r>
    <s v="ORD034"/>
    <x v="3"/>
    <x v="0"/>
    <x v="23"/>
    <n v="5438"/>
    <n v="152264"/>
    <s v="Rep-16"/>
    <x v="31"/>
  </r>
  <r>
    <s v="ORD035"/>
    <x v="4"/>
    <x v="4"/>
    <x v="11"/>
    <n v="14321"/>
    <n v="658766"/>
    <s v="Rep-12"/>
    <x v="32"/>
  </r>
  <r>
    <s v="ORD036"/>
    <x v="4"/>
    <x v="6"/>
    <x v="13"/>
    <n v="15080"/>
    <n v="527800"/>
    <s v="Rep-11"/>
    <x v="33"/>
  </r>
  <r>
    <s v="ORD037"/>
    <x v="4"/>
    <x v="3"/>
    <x v="24"/>
    <n v="24308"/>
    <n v="97232"/>
    <s v="Rep-14"/>
    <x v="34"/>
  </r>
  <r>
    <s v="ORD038"/>
    <x v="5"/>
    <x v="1"/>
    <x v="25"/>
    <n v="16028"/>
    <n v="32056"/>
    <s v="Rep-7"/>
    <x v="35"/>
  </r>
  <r>
    <s v="ORD039"/>
    <x v="0"/>
    <x v="5"/>
    <x v="26"/>
    <n v="7682"/>
    <n v="338008"/>
    <s v="Rep-20"/>
    <x v="36"/>
  </r>
  <r>
    <s v="ORD040"/>
    <x v="3"/>
    <x v="0"/>
    <x v="27"/>
    <n v="2424"/>
    <n v="96960"/>
    <s v="Rep-6"/>
    <x v="37"/>
  </r>
  <r>
    <s v="ORD041"/>
    <x v="0"/>
    <x v="3"/>
    <x v="28"/>
    <n v="1319"/>
    <n v="7914"/>
    <s v="Rep-19"/>
    <x v="38"/>
  </r>
  <r>
    <s v="ORD042"/>
    <x v="6"/>
    <x v="4"/>
    <x v="29"/>
    <n v="12065"/>
    <n v="398145"/>
    <s v="Rep-19"/>
    <x v="39"/>
  </r>
  <r>
    <s v="ORD043"/>
    <x v="4"/>
    <x v="6"/>
    <x v="1"/>
    <n v="9128"/>
    <n v="146048"/>
    <s v="Rep-7"/>
    <x v="40"/>
  </r>
  <r>
    <s v="ORD044"/>
    <x v="1"/>
    <x v="1"/>
    <x v="25"/>
    <n v="20962"/>
    <n v="41924"/>
    <s v="Rep-6"/>
    <x v="41"/>
  </r>
  <r>
    <s v="ORD045"/>
    <x v="2"/>
    <x v="3"/>
    <x v="6"/>
    <n v="18902"/>
    <n v="378040"/>
    <s v="Rep-4"/>
    <x v="42"/>
  </r>
  <r>
    <s v="ORD046"/>
    <x v="6"/>
    <x v="4"/>
    <x v="5"/>
    <n v="2225"/>
    <n v="11125"/>
    <s v="Rep-8"/>
    <x v="7"/>
  </r>
  <r>
    <s v="ORD047"/>
    <x v="5"/>
    <x v="1"/>
    <x v="30"/>
    <n v="16010"/>
    <n v="384240"/>
    <s v="Rep-11"/>
    <x v="43"/>
  </r>
  <r>
    <s v="ORD048"/>
    <x v="5"/>
    <x v="1"/>
    <x v="31"/>
    <n v="16719"/>
    <n v="785793"/>
    <s v="Rep-13"/>
    <x v="44"/>
  </r>
  <r>
    <s v="ORD049"/>
    <x v="0"/>
    <x v="5"/>
    <x v="26"/>
    <n v="15431"/>
    <n v="678964"/>
    <s v="Rep-3"/>
    <x v="45"/>
  </r>
  <r>
    <s v="ORD050"/>
    <x v="6"/>
    <x v="5"/>
    <x v="14"/>
    <n v="10101"/>
    <n v="434343"/>
    <s v="Rep-18"/>
    <x v="24"/>
  </r>
  <r>
    <s v="ORD051"/>
    <x v="0"/>
    <x v="2"/>
    <x v="32"/>
    <n v="8072"/>
    <n v="217944"/>
    <s v="Rep-14"/>
    <x v="46"/>
  </r>
  <r>
    <s v="ORD052"/>
    <x v="5"/>
    <x v="6"/>
    <x v="19"/>
    <n v="4758"/>
    <n v="199836"/>
    <s v="Rep-9"/>
    <x v="47"/>
  </r>
  <r>
    <s v="ORD053"/>
    <x v="0"/>
    <x v="1"/>
    <x v="33"/>
    <n v="24073"/>
    <n v="625898"/>
    <s v="Rep-3"/>
    <x v="48"/>
  </r>
  <r>
    <s v="ORD054"/>
    <x v="6"/>
    <x v="4"/>
    <x v="15"/>
    <n v="21240"/>
    <n v="531000"/>
    <s v="Rep-4"/>
    <x v="28"/>
  </r>
  <r>
    <s v="ORD055"/>
    <x v="6"/>
    <x v="0"/>
    <x v="11"/>
    <n v="15607"/>
    <n v="717922"/>
    <s v="Rep-17"/>
    <x v="32"/>
  </r>
  <r>
    <s v="ORD056"/>
    <x v="6"/>
    <x v="3"/>
    <x v="26"/>
    <n v="23250"/>
    <n v="1023000"/>
    <s v="Rep-5"/>
    <x v="26"/>
  </r>
  <r>
    <s v="ORD057"/>
    <x v="2"/>
    <x v="1"/>
    <x v="17"/>
    <n v="4808"/>
    <n v="110584"/>
    <s v="Rep-9"/>
    <x v="49"/>
  </r>
  <r>
    <s v="ORD058"/>
    <x v="5"/>
    <x v="4"/>
    <x v="5"/>
    <n v="7183"/>
    <n v="35915"/>
    <s v="Rep-6"/>
    <x v="50"/>
  </r>
  <r>
    <s v="ORD059"/>
    <x v="4"/>
    <x v="1"/>
    <x v="4"/>
    <n v="15062"/>
    <n v="512108"/>
    <s v="Rep-11"/>
    <x v="51"/>
  </r>
  <r>
    <s v="ORD060"/>
    <x v="0"/>
    <x v="1"/>
    <x v="23"/>
    <n v="23794"/>
    <n v="666232"/>
    <s v="Rep-7"/>
    <x v="52"/>
  </r>
  <r>
    <s v="ORD061"/>
    <x v="5"/>
    <x v="5"/>
    <x v="26"/>
    <n v="6455"/>
    <n v="284020"/>
    <s v="Rep-13"/>
    <x v="30"/>
  </r>
  <r>
    <s v="ORD062"/>
    <x v="3"/>
    <x v="5"/>
    <x v="8"/>
    <n v="11109"/>
    <n v="433251"/>
    <s v="Rep-2"/>
    <x v="42"/>
  </r>
  <r>
    <s v="ORD063"/>
    <x v="4"/>
    <x v="5"/>
    <x v="34"/>
    <n v="15425"/>
    <n v="740400"/>
    <s v="Rep-8"/>
    <x v="53"/>
  </r>
  <r>
    <s v="ORD064"/>
    <x v="3"/>
    <x v="5"/>
    <x v="7"/>
    <n v="9479"/>
    <n v="284370"/>
    <s v="Rep-4"/>
    <x v="54"/>
  </r>
  <r>
    <s v="ORD065"/>
    <x v="2"/>
    <x v="3"/>
    <x v="33"/>
    <n v="5734"/>
    <n v="149084"/>
    <s v="Rep-13"/>
    <x v="46"/>
  </r>
  <r>
    <s v="ORD066"/>
    <x v="4"/>
    <x v="4"/>
    <x v="16"/>
    <n v="24495"/>
    <n v="440910"/>
    <s v="Rep-19"/>
    <x v="55"/>
  </r>
  <r>
    <s v="ORD067"/>
    <x v="6"/>
    <x v="2"/>
    <x v="15"/>
    <n v="17989"/>
    <n v="449725"/>
    <s v="Rep-1"/>
    <x v="56"/>
  </r>
  <r>
    <s v="ORD068"/>
    <x v="2"/>
    <x v="3"/>
    <x v="31"/>
    <n v="1862"/>
    <n v="87514"/>
    <s v="Rep-15"/>
    <x v="24"/>
  </r>
  <r>
    <s v="ORD069"/>
    <x v="5"/>
    <x v="1"/>
    <x v="2"/>
    <n v="20353"/>
    <n v="427413"/>
    <s v="Rep-6"/>
    <x v="57"/>
  </r>
  <r>
    <s v="ORD070"/>
    <x v="3"/>
    <x v="3"/>
    <x v="34"/>
    <n v="13228"/>
    <n v="634944"/>
    <s v="Rep-17"/>
    <x v="2"/>
  </r>
  <r>
    <s v="ORD071"/>
    <x v="6"/>
    <x v="2"/>
    <x v="14"/>
    <n v="10407"/>
    <n v="447501"/>
    <s v="Rep-16"/>
    <x v="58"/>
  </r>
  <r>
    <s v="ORD072"/>
    <x v="1"/>
    <x v="1"/>
    <x v="20"/>
    <n v="4520"/>
    <n v="63280"/>
    <s v="Rep-18"/>
    <x v="59"/>
  </r>
  <r>
    <s v="ORD073"/>
    <x v="3"/>
    <x v="1"/>
    <x v="12"/>
    <n v="3864"/>
    <n v="11592"/>
    <s v="Rep-12"/>
    <x v="60"/>
  </r>
  <r>
    <s v="ORD074"/>
    <x v="6"/>
    <x v="1"/>
    <x v="26"/>
    <n v="12696"/>
    <n v="558624"/>
    <s v="Rep-12"/>
    <x v="61"/>
  </r>
  <r>
    <s v="ORD075"/>
    <x v="1"/>
    <x v="4"/>
    <x v="15"/>
    <n v="3253"/>
    <n v="81325"/>
    <s v="Rep-19"/>
    <x v="31"/>
  </r>
  <r>
    <s v="ORD076"/>
    <x v="1"/>
    <x v="6"/>
    <x v="20"/>
    <n v="1687"/>
    <n v="23618"/>
    <s v="Rep-1"/>
    <x v="62"/>
  </r>
  <r>
    <s v="ORD077"/>
    <x v="6"/>
    <x v="1"/>
    <x v="27"/>
    <n v="5994"/>
    <n v="239760"/>
    <s v="Rep-8"/>
    <x v="50"/>
  </r>
  <r>
    <s v="ORD078"/>
    <x v="1"/>
    <x v="0"/>
    <x v="35"/>
    <n v="14831"/>
    <n v="726719"/>
    <s v="Rep-20"/>
    <x v="63"/>
  </r>
  <r>
    <s v="ORD079"/>
    <x v="5"/>
    <x v="6"/>
    <x v="36"/>
    <n v="8082"/>
    <n v="88902"/>
    <s v="Rep-17"/>
    <x v="64"/>
  </r>
  <r>
    <s v="ORD080"/>
    <x v="6"/>
    <x v="1"/>
    <x v="31"/>
    <n v="22132"/>
    <n v="1040204"/>
    <s v="Rep-3"/>
    <x v="36"/>
  </r>
  <r>
    <s v="ORD081"/>
    <x v="4"/>
    <x v="0"/>
    <x v="31"/>
    <n v="6658"/>
    <n v="312926"/>
    <s v="Rep-11"/>
    <x v="65"/>
  </r>
  <r>
    <s v="ORD082"/>
    <x v="5"/>
    <x v="6"/>
    <x v="0"/>
    <n v="1238"/>
    <n v="55710"/>
    <s v="Rep-16"/>
    <x v="66"/>
  </r>
  <r>
    <s v="ORD083"/>
    <x v="6"/>
    <x v="4"/>
    <x v="31"/>
    <n v="14799"/>
    <n v="695553"/>
    <s v="Rep-1"/>
    <x v="67"/>
  </r>
  <r>
    <s v="ORD084"/>
    <x v="2"/>
    <x v="3"/>
    <x v="37"/>
    <n v="22023"/>
    <n v="484506"/>
    <s v="Rep-5"/>
    <x v="68"/>
  </r>
  <r>
    <s v="ORD085"/>
    <x v="4"/>
    <x v="3"/>
    <x v="38"/>
    <n v="3210"/>
    <n v="99510"/>
    <s v="Rep-8"/>
    <x v="69"/>
  </r>
  <r>
    <s v="ORD086"/>
    <x v="0"/>
    <x v="0"/>
    <x v="15"/>
    <n v="1580"/>
    <n v="39500"/>
    <s v="Rep-15"/>
    <x v="4"/>
  </r>
  <r>
    <s v="ORD087"/>
    <x v="0"/>
    <x v="5"/>
    <x v="10"/>
    <n v="17564"/>
    <n v="649868"/>
    <s v="Rep-10"/>
    <x v="70"/>
  </r>
  <r>
    <s v="ORD088"/>
    <x v="1"/>
    <x v="5"/>
    <x v="26"/>
    <n v="14178"/>
    <n v="623832"/>
    <s v="Rep-14"/>
    <x v="71"/>
  </r>
  <r>
    <s v="ORD089"/>
    <x v="2"/>
    <x v="6"/>
    <x v="6"/>
    <n v="23664"/>
    <n v="473280"/>
    <s v="Rep-10"/>
    <x v="72"/>
  </r>
  <r>
    <s v="ORD090"/>
    <x v="6"/>
    <x v="4"/>
    <x v="17"/>
    <n v="7894"/>
    <n v="181562"/>
    <s v="Rep-16"/>
    <x v="31"/>
  </r>
  <r>
    <s v="ORD091"/>
    <x v="2"/>
    <x v="6"/>
    <x v="31"/>
    <n v="6357"/>
    <n v="298779"/>
    <s v="Rep-20"/>
    <x v="73"/>
  </r>
  <r>
    <s v="ORD092"/>
    <x v="5"/>
    <x v="0"/>
    <x v="1"/>
    <n v="21708"/>
    <n v="347328"/>
    <s v="Rep-6"/>
    <x v="8"/>
  </r>
  <r>
    <s v="ORD093"/>
    <x v="2"/>
    <x v="6"/>
    <x v="23"/>
    <n v="8137"/>
    <n v="227836"/>
    <s v="Rep-16"/>
    <x v="74"/>
  </r>
  <r>
    <s v="ORD094"/>
    <x v="2"/>
    <x v="1"/>
    <x v="39"/>
    <n v="9266"/>
    <n v="83394"/>
    <s v="Rep-7"/>
    <x v="75"/>
  </r>
  <r>
    <s v="ORD095"/>
    <x v="4"/>
    <x v="5"/>
    <x v="1"/>
    <n v="4337"/>
    <n v="69392"/>
    <s v="Rep-6"/>
    <x v="76"/>
  </r>
  <r>
    <s v="ORD096"/>
    <x v="4"/>
    <x v="6"/>
    <x v="36"/>
    <n v="22848"/>
    <n v="251328"/>
    <s v="Rep-1"/>
    <x v="77"/>
  </r>
  <r>
    <s v="ORD097"/>
    <x v="2"/>
    <x v="2"/>
    <x v="40"/>
    <n v="19554"/>
    <n v="332418"/>
    <s v="Rep-7"/>
    <x v="1"/>
  </r>
  <r>
    <s v="ORD098"/>
    <x v="5"/>
    <x v="2"/>
    <x v="3"/>
    <n v="16712"/>
    <n v="685192"/>
    <s v="Rep-19"/>
    <x v="78"/>
  </r>
  <r>
    <s v="ORD099"/>
    <x v="2"/>
    <x v="4"/>
    <x v="20"/>
    <n v="17088"/>
    <n v="239232"/>
    <s v="Rep-10"/>
    <x v="33"/>
  </r>
  <r>
    <s v="ORD100"/>
    <x v="0"/>
    <x v="3"/>
    <x v="14"/>
    <n v="22432"/>
    <n v="964576"/>
    <s v="Rep-9"/>
    <x v="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839222"/>
  </r>
  <r>
    <x v="1"/>
    <n v="4103350"/>
  </r>
  <r>
    <x v="2"/>
    <n v="3812457"/>
  </r>
  <r>
    <x v="3"/>
    <n v="5669794"/>
  </r>
  <r>
    <x v="4"/>
    <n v="5232187"/>
  </r>
  <r>
    <x v="5"/>
    <n v="6370590"/>
  </r>
  <r>
    <x v="6"/>
    <n v="72677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11E89-15A9-4BC6-B1FA-9D61E864B08D}" name="PivotTable1" cacheId="58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0" firstHeaderRow="1" firstDataRow="1" firstDataCol="1"/>
  <pivotFields count="10">
    <pivotField showAll="0"/>
    <pivotField axis="axisRow" showAll="0">
      <items count="8">
        <item x="3"/>
        <item x="1"/>
        <item x="2"/>
        <item x="0"/>
        <item x="4"/>
        <item x="5"/>
        <item x="6"/>
        <item t="default"/>
      </items>
    </pivotField>
    <pivotField showAll="0"/>
    <pivotField showAll="0"/>
    <pivotField showAll="0"/>
    <pivotField dataField="1" showAll="0"/>
    <pivotField showAll="0"/>
    <pivotField numFmtId="14" showAll="0">
      <items count="81">
        <item x="37"/>
        <item x="45"/>
        <item x="78"/>
        <item x="69"/>
        <item x="24"/>
        <item x="46"/>
        <item x="49"/>
        <item x="15"/>
        <item x="28"/>
        <item x="7"/>
        <item x="55"/>
        <item x="32"/>
        <item x="40"/>
        <item x="23"/>
        <item x="11"/>
        <item x="44"/>
        <item x="68"/>
        <item x="22"/>
        <item x="35"/>
        <item x="70"/>
        <item x="67"/>
        <item x="42"/>
        <item x="30"/>
        <item x="54"/>
        <item x="50"/>
        <item x="48"/>
        <item x="4"/>
        <item x="33"/>
        <item x="38"/>
        <item x="57"/>
        <item x="18"/>
        <item x="25"/>
        <item x="72"/>
        <item x="19"/>
        <item x="43"/>
        <item x="64"/>
        <item x="17"/>
        <item x="6"/>
        <item x="0"/>
        <item x="5"/>
        <item x="31"/>
        <item x="29"/>
        <item x="39"/>
        <item x="71"/>
        <item x="41"/>
        <item x="1"/>
        <item x="76"/>
        <item x="60"/>
        <item x="59"/>
        <item x="14"/>
        <item x="52"/>
        <item x="63"/>
        <item x="26"/>
        <item x="34"/>
        <item x="8"/>
        <item x="77"/>
        <item x="61"/>
        <item x="3"/>
        <item x="79"/>
        <item x="2"/>
        <item x="20"/>
        <item x="65"/>
        <item x="9"/>
        <item x="13"/>
        <item x="16"/>
        <item x="51"/>
        <item x="56"/>
        <item x="12"/>
        <item x="73"/>
        <item x="62"/>
        <item x="75"/>
        <item x="58"/>
        <item x="27"/>
        <item x="66"/>
        <item x="36"/>
        <item x="74"/>
        <item x="53"/>
        <item x="21"/>
        <item x="10"/>
        <item x="47"/>
        <item t="default"/>
      </items>
    </pivotField>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Items count="1">
    <i/>
  </colItems>
  <dataFields count="1">
    <dataField name="Sum of Revenue" fld="5" baseField="0" baseItem="0" numFmtId="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1F036-ED93-46DA-8CCC-860B8CD494AB}" name="PivotTable7" cacheId="58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6" firstHeaderRow="1" firstDataRow="1" firstDataCol="1"/>
  <pivotFields count="10">
    <pivotField compact="0" outline="0" showAll="0"/>
    <pivotField axis="axisRow" compact="0" outline="0" showAll="0" measureFilter="1">
      <items count="8">
        <item x="3"/>
        <item x="1"/>
        <item x="2"/>
        <item x="0"/>
        <item x="4"/>
        <item x="5"/>
        <item x="6"/>
        <item t="default"/>
      </items>
    </pivotField>
    <pivotField compact="0" outline="0" showAll="0"/>
    <pivotField compact="0" outline="0" showAll="0"/>
    <pivotField compact="0" outline="0" showAll="0"/>
    <pivotField dataField="1" compact="0" outline="0" showAll="0"/>
    <pivotField compact="0" outline="0" showAll="0"/>
    <pivotField compact="0" numFmtId="14" outline="0" showAll="0">
      <items count="81">
        <item x="37"/>
        <item x="45"/>
        <item x="78"/>
        <item x="69"/>
        <item x="24"/>
        <item x="46"/>
        <item x="49"/>
        <item x="15"/>
        <item x="28"/>
        <item x="7"/>
        <item x="55"/>
        <item x="32"/>
        <item x="40"/>
        <item x="23"/>
        <item x="11"/>
        <item x="44"/>
        <item x="68"/>
        <item x="22"/>
        <item x="35"/>
        <item x="70"/>
        <item x="67"/>
        <item x="42"/>
        <item x="30"/>
        <item x="54"/>
        <item x="50"/>
        <item x="48"/>
        <item x="4"/>
        <item x="33"/>
        <item x="38"/>
        <item x="57"/>
        <item x="18"/>
        <item x="25"/>
        <item x="72"/>
        <item x="19"/>
        <item x="43"/>
        <item x="64"/>
        <item x="17"/>
        <item x="6"/>
        <item x="0"/>
        <item x="5"/>
        <item x="31"/>
        <item x="29"/>
        <item x="39"/>
        <item x="71"/>
        <item x="41"/>
        <item x="1"/>
        <item x="76"/>
        <item x="60"/>
        <item x="59"/>
        <item x="14"/>
        <item x="52"/>
        <item x="63"/>
        <item x="26"/>
        <item x="34"/>
        <item x="8"/>
        <item x="77"/>
        <item x="61"/>
        <item x="3"/>
        <item x="79"/>
        <item x="2"/>
        <item x="20"/>
        <item x="65"/>
        <item x="9"/>
        <item x="13"/>
        <item x="16"/>
        <item x="51"/>
        <item x="56"/>
        <item x="12"/>
        <item x="73"/>
        <item x="62"/>
        <item x="75"/>
        <item x="58"/>
        <item x="27"/>
        <item x="66"/>
        <item x="36"/>
        <item x="74"/>
        <item x="53"/>
        <item x="21"/>
        <item x="10"/>
        <item x="47"/>
        <item t="default"/>
      </items>
    </pivotField>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1"/>
  </rowFields>
  <rowItems count="4">
    <i>
      <x v="3"/>
    </i>
    <i>
      <x v="5"/>
    </i>
    <i>
      <x v="6"/>
    </i>
    <i t="grand">
      <x/>
    </i>
  </rowItems>
  <colItems count="1">
    <i/>
  </colItems>
  <dataFields count="1">
    <dataField name="Sum of Revenue" fld="5" baseField="0" baseItem="0" numFmtId="4"/>
  </dataFields>
  <formats count="2">
    <format dxfId="20">
      <pivotArea outline="0" fieldPosition="0">
        <references count="1">
          <reference field="1" count="3" selected="0">
            <x v="3"/>
            <x v="5"/>
            <x v="6"/>
          </reference>
        </references>
      </pivotArea>
    </format>
    <format dxfId="21">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DDCC3F-61CD-4FA3-8936-1F6339CD25DE}" name="PivotTable5" cacheId="58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0" firstHeaderRow="1" firstDataRow="1" firstDataCol="1"/>
  <pivotFields count="10">
    <pivotField compact="0" outline="0" showAll="0"/>
    <pivotField compact="0" outline="0" showAll="0"/>
    <pivotField axis="axisRow" compact="0" outline="0" showAll="0">
      <items count="8">
        <item x="6"/>
        <item x="4"/>
        <item x="5"/>
        <item x="2"/>
        <item x="0"/>
        <item x="3"/>
        <item x="1"/>
        <item t="default"/>
      </items>
    </pivotField>
    <pivotField compact="0" outline="0" showAll="0"/>
    <pivotField compact="0" outline="0" showAll="0"/>
    <pivotField dataField="1" compact="0" outline="0" showAll="0"/>
    <pivotField compact="0" outline="0" showAll="0"/>
    <pivotField compact="0" numFmtId="14" outline="0" showAll="0">
      <items count="81">
        <item x="37"/>
        <item x="45"/>
        <item x="78"/>
        <item x="69"/>
        <item x="24"/>
        <item x="46"/>
        <item x="49"/>
        <item x="15"/>
        <item x="28"/>
        <item x="7"/>
        <item x="55"/>
        <item x="32"/>
        <item x="40"/>
        <item x="23"/>
        <item x="11"/>
        <item x="44"/>
        <item x="68"/>
        <item x="22"/>
        <item x="35"/>
        <item x="70"/>
        <item x="67"/>
        <item x="42"/>
        <item x="30"/>
        <item x="54"/>
        <item x="50"/>
        <item x="48"/>
        <item x="4"/>
        <item x="33"/>
        <item x="38"/>
        <item x="57"/>
        <item x="18"/>
        <item x="25"/>
        <item x="72"/>
        <item x="19"/>
        <item x="43"/>
        <item x="64"/>
        <item x="17"/>
        <item x="6"/>
        <item x="0"/>
        <item x="5"/>
        <item x="31"/>
        <item x="29"/>
        <item x="39"/>
        <item x="71"/>
        <item x="41"/>
        <item x="1"/>
        <item x="76"/>
        <item x="60"/>
        <item x="59"/>
        <item x="14"/>
        <item x="52"/>
        <item x="63"/>
        <item x="26"/>
        <item x="34"/>
        <item x="8"/>
        <item x="77"/>
        <item x="61"/>
        <item x="3"/>
        <item x="79"/>
        <item x="2"/>
        <item x="20"/>
        <item x="65"/>
        <item x="9"/>
        <item x="13"/>
        <item x="16"/>
        <item x="51"/>
        <item x="56"/>
        <item x="12"/>
        <item x="73"/>
        <item x="62"/>
        <item x="75"/>
        <item x="58"/>
        <item x="27"/>
        <item x="66"/>
        <item x="36"/>
        <item x="74"/>
        <item x="53"/>
        <item x="21"/>
        <item x="10"/>
        <item x="47"/>
        <item t="default"/>
      </items>
    </pivotField>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Sum of Revenue" fld="5" baseField="0" baseItem="0" numFmtId="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7178B1-4752-44AE-964E-513E58B07A31}" name="PivotTable6" cacheId="58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pivotFields count="1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items count="81">
        <item x="37"/>
        <item x="45"/>
        <item x="78"/>
        <item x="69"/>
        <item x="24"/>
        <item x="46"/>
        <item x="49"/>
        <item x="15"/>
        <item x="28"/>
        <item x="7"/>
        <item x="55"/>
        <item x="32"/>
        <item x="40"/>
        <item x="23"/>
        <item x="11"/>
        <item x="44"/>
        <item x="68"/>
        <item x="22"/>
        <item x="35"/>
        <item x="70"/>
        <item x="67"/>
        <item x="42"/>
        <item x="30"/>
        <item x="54"/>
        <item x="50"/>
        <item x="48"/>
        <item x="4"/>
        <item x="33"/>
        <item x="38"/>
        <item x="57"/>
        <item x="18"/>
        <item x="25"/>
        <item x="72"/>
        <item x="19"/>
        <item x="43"/>
        <item x="64"/>
        <item x="17"/>
        <item x="6"/>
        <item x="0"/>
        <item x="5"/>
        <item x="31"/>
        <item x="29"/>
        <item x="39"/>
        <item x="71"/>
        <item x="41"/>
        <item x="1"/>
        <item x="76"/>
        <item x="60"/>
        <item x="59"/>
        <item x="14"/>
        <item x="52"/>
        <item x="63"/>
        <item x="26"/>
        <item x="34"/>
        <item x="8"/>
        <item x="77"/>
        <item x="61"/>
        <item x="3"/>
        <item x="79"/>
        <item x="2"/>
        <item x="20"/>
        <item x="65"/>
        <item x="9"/>
        <item x="13"/>
        <item x="16"/>
        <item x="51"/>
        <item x="56"/>
        <item x="12"/>
        <item x="73"/>
        <item x="62"/>
        <item x="75"/>
        <item x="58"/>
        <item x="27"/>
        <item x="66"/>
        <item x="36"/>
        <item x="74"/>
        <item x="53"/>
        <item x="21"/>
        <item x="10"/>
        <item x="47"/>
        <item t="default"/>
      </items>
    </pivotField>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s>
  <rowFields count="1">
    <field x="9"/>
  </rowFields>
  <rowItems count="7">
    <i>
      <x v="1"/>
    </i>
    <i>
      <x v="2"/>
    </i>
    <i>
      <x v="3"/>
    </i>
    <i>
      <x v="4"/>
    </i>
    <i>
      <x v="5"/>
    </i>
    <i>
      <x v="6"/>
    </i>
    <i t="grand">
      <x/>
    </i>
  </rowItems>
  <colItems count="1">
    <i/>
  </colItems>
  <dataFields count="1">
    <dataField name="Sum of Revenue" fld="5" baseField="0" baseItem="0" numFmtId="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1274B-7B15-4A3E-A575-C1D6071B8EF9}" name="PivotTable4" cacheId="5824" applyNumberFormats="0" applyBorderFormats="0" applyFontFormats="0" applyPatternFormats="0" applyAlignmentFormats="0" applyWidthHeightFormats="1" dataCaption="Values" grandTotalCaption="Total" updatedVersion="8" minRefreshableVersion="3" useAutoFormatting="1" rowGrandTotals="0" itemPrintTitles="1" createdVersion="8" indent="0" outline="1" outlineData="1" multipleFieldFilters="0" rowHeaderCaption="Products">
  <location ref="N26:O29" firstHeaderRow="1" firstDataRow="1" firstDataCol="1"/>
  <pivotFields count="2">
    <pivotField axis="axisRow" showAll="0" measureFilter="1">
      <items count="8">
        <item x="0"/>
        <item x="1"/>
        <item x="2"/>
        <item x="3"/>
        <item x="4"/>
        <item x="5"/>
        <item x="6"/>
        <item t="default"/>
      </items>
    </pivotField>
    <pivotField dataField="1" showAll="0"/>
  </pivotFields>
  <rowFields count="1">
    <field x="0"/>
  </rowFields>
  <rowItems count="3">
    <i>
      <x v="3"/>
    </i>
    <i>
      <x v="5"/>
    </i>
    <i>
      <x v="6"/>
    </i>
  </rowItems>
  <colItems count="1">
    <i/>
  </colItems>
  <dataFields count="1">
    <dataField name="Revenue" fld="1" baseField="0" baseItem="0" numFmtId="165"/>
  </dataFields>
  <formats count="2">
    <format dxfId="16">
      <pivotArea dataOnly="0" labelOnly="1" fieldPosition="0">
        <references count="1">
          <reference field="0" count="3">
            <x v="3"/>
            <x v="5"/>
            <x v="6"/>
          </reference>
        </references>
      </pivotArea>
    </format>
    <format dxfId="17">
      <pivotArea outline="0" collapsedLevelsAreSubtotals="1" fieldPosition="0"/>
    </format>
  </formats>
  <pivotTableStyleInfo name="PivotStyleMedium5"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9C0393-4B98-411B-A6FA-B8F2C3937E9E}" name="PivotTable1" cacheId="582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ducts">
  <location ref="I5:L12" firstHeaderRow="0" firstDataRow="1" firstDataCol="1"/>
  <pivotFields count="10">
    <pivotField showAll="0"/>
    <pivotField axis="axisRow" showAll="0">
      <items count="8">
        <item x="3"/>
        <item x="1"/>
        <item x="2"/>
        <item x="0"/>
        <item x="4"/>
        <item x="5"/>
        <item x="6"/>
        <item t="default"/>
      </items>
    </pivotField>
    <pivotField showAll="0">
      <items count="8">
        <item h="1" x="6"/>
        <item h="1" x="4"/>
        <item h="1" x="5"/>
        <item h="1" x="2"/>
        <item h="1" x="0"/>
        <item h="1" x="3"/>
        <item x="1"/>
        <item t="default"/>
      </items>
    </pivotField>
    <pivotField dataField="1" showAll="0"/>
    <pivotField dataField="1" showAll="0"/>
    <pivotField dataField="1" showAll="0"/>
    <pivotField showAll="0"/>
    <pivotField numFmtId="14" showAll="0">
      <items count="81">
        <item x="37"/>
        <item x="45"/>
        <item x="78"/>
        <item x="69"/>
        <item x="24"/>
        <item x="46"/>
        <item x="49"/>
        <item x="15"/>
        <item x="28"/>
        <item x="7"/>
        <item x="55"/>
        <item x="32"/>
        <item x="40"/>
        <item x="23"/>
        <item x="11"/>
        <item x="44"/>
        <item x="68"/>
        <item x="22"/>
        <item x="35"/>
        <item x="70"/>
        <item x="67"/>
        <item x="42"/>
        <item x="30"/>
        <item x="54"/>
        <item x="50"/>
        <item x="48"/>
        <item x="4"/>
        <item x="33"/>
        <item x="38"/>
        <item x="57"/>
        <item x="18"/>
        <item x="25"/>
        <item x="72"/>
        <item x="19"/>
        <item x="43"/>
        <item x="64"/>
        <item x="17"/>
        <item x="6"/>
        <item x="0"/>
        <item x="5"/>
        <item x="31"/>
        <item x="29"/>
        <item x="39"/>
        <item x="71"/>
        <item x="41"/>
        <item x="1"/>
        <item x="76"/>
        <item x="60"/>
        <item x="59"/>
        <item x="14"/>
        <item x="52"/>
        <item x="63"/>
        <item x="26"/>
        <item x="34"/>
        <item x="8"/>
        <item x="77"/>
        <item x="61"/>
        <item x="3"/>
        <item x="79"/>
        <item x="2"/>
        <item x="20"/>
        <item x="65"/>
        <item x="9"/>
        <item x="13"/>
        <item x="16"/>
        <item x="51"/>
        <item x="56"/>
        <item x="12"/>
        <item x="73"/>
        <item x="62"/>
        <item x="75"/>
        <item x="58"/>
        <item x="27"/>
        <item x="66"/>
        <item x="36"/>
        <item x="74"/>
        <item x="53"/>
        <item x="21"/>
        <item x="10"/>
        <item x="47"/>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x v="6"/>
    </i>
  </rowItems>
  <colFields count="1">
    <field x="-2"/>
  </colFields>
  <colItems count="3">
    <i>
      <x/>
    </i>
    <i i="1">
      <x v="1"/>
    </i>
    <i i="2">
      <x v="2"/>
    </i>
  </colItems>
  <dataFields count="3">
    <dataField name="Sum of Revenue" fld="5" baseField="0" baseItem="0" numFmtId="164"/>
    <dataField name="Sum of Units_Sold" fld="3" baseField="0" baseItem="0"/>
    <dataField name="Sum of Unit_Price" fld="4" baseField="0" baseItem="0" numFmtId="164"/>
  </dataFields>
  <formats count="10">
    <format dxfId="6">
      <pivotArea dataOnly="0" labelOnly="1" fieldPosition="0">
        <references count="1">
          <reference field="1" count="0"/>
        </references>
      </pivotArea>
    </format>
    <format dxfId="7">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2"/>
          </reference>
        </references>
      </pivotArea>
    </format>
    <format dxfId="9">
      <pivotArea type="all" dataOnly="0" outline="0" fieldPosition="0"/>
    </format>
    <format dxfId="10">
      <pivotArea outline="0" collapsedLevelsAreSubtotals="1" fieldPosition="0"/>
    </format>
    <format dxfId="11">
      <pivotArea field="1" type="button" dataOnly="0" labelOnly="1" outline="0" axis="axisRow" fieldPosition="0"/>
    </format>
    <format dxfId="12">
      <pivotArea dataOnly="0" labelOnly="1" fieldPosition="0">
        <references count="1">
          <reference field="1" count="0"/>
        </references>
      </pivotArea>
    </format>
    <format dxfId="13">
      <pivotArea dataOnly="0" labelOnly="1" outline="0" fieldPosition="0">
        <references count="1">
          <reference field="4294967294" count="3">
            <x v="0"/>
            <x v="1"/>
            <x v="2"/>
          </reference>
        </references>
      </pivotArea>
    </format>
    <format dxfId="14">
      <pivotArea field="1" type="button" dataOnly="0" labelOnly="1" outline="0" axis="axisRow" fieldPosition="0"/>
    </format>
    <format dxfId="15">
      <pivotArea dataOnly="0" labelOnly="1" outline="0" fieldPosition="0">
        <references count="1">
          <reference field="4294967294" count="3">
            <x v="0"/>
            <x v="1"/>
            <x v="2"/>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7D8871-853E-4B5D-9F34-43D773052252}" autoFormatId="16" applyNumberFormats="0" applyBorderFormats="0" applyFontFormats="0" applyPatternFormats="0" applyAlignmentFormats="0" applyWidthHeightFormats="0">
  <queryTableRefresh nextId="9">
    <queryTableFields count="8">
      <queryTableField id="1" name="Order_ID" tableColumnId="1"/>
      <queryTableField id="2" name="Product" tableColumnId="2"/>
      <queryTableField id="3" name="Region" tableColumnId="3"/>
      <queryTableField id="4" name="Units_Sold" tableColumnId="4"/>
      <queryTableField id="5" name="Unit_Price" tableColumnId="5"/>
      <queryTableField id="6" name="Revenue" tableColumnId="6"/>
      <queryTableField id="7" name="Sales_Rep" tableColumnId="7"/>
      <queryTableField id="8" name="Order_Da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F90965-AF2E-4F73-8FAE-092C8E79071B}" sourceName="Region">
  <pivotTables>
    <pivotTable tabId="8" name="PivotTable1"/>
  </pivotTables>
  <data>
    <tabular pivotCacheId="1415624136">
      <items count="7">
        <i x="6"/>
        <i x="4"/>
        <i x="5"/>
        <i x="2"/>
        <i x="0"/>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F280FB7-7069-42B4-8E87-E578B20A03C3}" sourceName="Months (Order_Date)">
  <pivotTables>
    <pivotTable tabId="8" name="PivotTable1"/>
  </pivotTables>
  <data>
    <tabular pivotCacheId="1415624136">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C3905C-D6D0-4A11-85AE-59B894731F4D}" cache="Slicer_Region" caption="Region" rowHeight="257175"/>
  <slicer name="Month" xr10:uid="{156EF33C-05C4-4982-81E1-EDDB99053EEC}" cache="Slicer_Months__Order_Date" caption="Month"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B98601-9932-4886-8410-B346A70D7DC5}" name="Week_2_Sales_Data" displayName="Week_2_Sales_Data" ref="A1:H101" tableType="queryTable" totalsRowShown="0">
  <autoFilter ref="A1:H101" xr:uid="{64B98601-9932-4886-8410-B346A70D7DC5}"/>
  <tableColumns count="8">
    <tableColumn id="1" xr3:uid="{1258F28A-3F3F-47AF-B55B-C0A54DDC5ED1}" uniqueName="1" name="Order_ID" queryTableFieldId="1" dataDxfId="5"/>
    <tableColumn id="2" xr3:uid="{5FD20518-1CFC-46D4-ACF9-991984BBAB58}" uniqueName="2" name="Product" queryTableFieldId="2" dataDxfId="4"/>
    <tableColumn id="3" xr3:uid="{3BC5DE55-7BE9-4798-B5A2-D3811C251110}" uniqueName="3" name="Region" queryTableFieldId="3" dataDxfId="3"/>
    <tableColumn id="4" xr3:uid="{88886C6D-051C-4FA2-939B-A64C68361A55}" uniqueName="4" name="Units_Sold" queryTableFieldId="4"/>
    <tableColumn id="5" xr3:uid="{3A1F430F-EB4D-4245-B65E-90CFC5F2BAF4}" uniqueName="5" name="Unit_Price" queryTableFieldId="5"/>
    <tableColumn id="6" xr3:uid="{02621C49-3FD6-4DA0-9CA7-7E33FC4791EE}" uniqueName="6" name="Revenue" queryTableFieldId="6" dataDxfId="2"/>
    <tableColumn id="7" xr3:uid="{A06D272D-6D2B-4677-9AFE-3A125C7EAA7F}" uniqueName="7" name="Sales_Rep" queryTableFieldId="7" dataDxfId="1"/>
    <tableColumn id="8" xr3:uid="{F92C7423-A059-4258-93C2-F612A9F0646D}" uniqueName="8" name="Order_Date" queryTableFieldId="8"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17ED-D023-44BE-A302-D2027B24DB65}">
  <sheetPr>
    <tabColor theme="3"/>
  </sheetPr>
  <dimension ref="G1:R32"/>
  <sheetViews>
    <sheetView workbookViewId="0">
      <selection activeCell="I3" sqref="I3"/>
    </sheetView>
  </sheetViews>
  <sheetFormatPr defaultRowHeight="15"/>
  <sheetData>
    <row r="1" spans="7:18">
      <c r="G1" s="14"/>
      <c r="H1" s="15"/>
      <c r="I1" s="15"/>
      <c r="J1" s="15"/>
      <c r="K1" s="15"/>
      <c r="L1" s="15"/>
      <c r="M1" s="15"/>
      <c r="N1" s="15"/>
      <c r="O1" s="15"/>
      <c r="P1" s="15"/>
      <c r="Q1" s="15"/>
      <c r="R1" s="16"/>
    </row>
    <row r="2" spans="7:18">
      <c r="G2" s="17"/>
      <c r="H2" s="18"/>
      <c r="I2" s="18"/>
      <c r="J2" s="18"/>
      <c r="K2" s="18"/>
      <c r="L2" s="18"/>
      <c r="M2" s="18"/>
      <c r="N2" s="18"/>
      <c r="O2" s="18"/>
      <c r="P2" s="18"/>
      <c r="Q2" s="18"/>
      <c r="R2" s="19"/>
    </row>
    <row r="3" spans="7:18">
      <c r="G3" s="17"/>
      <c r="H3" s="18"/>
      <c r="I3" s="18"/>
      <c r="J3" s="18"/>
      <c r="K3" s="18"/>
      <c r="L3" s="18"/>
      <c r="M3" s="18"/>
      <c r="N3" s="18"/>
      <c r="O3" s="18"/>
      <c r="P3" s="18"/>
      <c r="Q3" s="18"/>
      <c r="R3" s="19"/>
    </row>
    <row r="4" spans="7:18">
      <c r="G4" s="17"/>
      <c r="H4" s="18"/>
      <c r="I4" s="18"/>
      <c r="J4" s="18"/>
      <c r="K4" s="18"/>
      <c r="L4" s="18"/>
      <c r="M4" s="18"/>
      <c r="N4" s="18"/>
      <c r="O4" s="18"/>
      <c r="P4" s="18"/>
      <c r="Q4" s="18"/>
      <c r="R4" s="19"/>
    </row>
    <row r="5" spans="7:18">
      <c r="G5" s="17"/>
      <c r="H5" s="18"/>
      <c r="I5" s="18"/>
      <c r="J5" s="18"/>
      <c r="K5" s="18"/>
      <c r="L5" s="18"/>
      <c r="M5" s="18"/>
      <c r="N5" s="18"/>
      <c r="O5" s="18"/>
      <c r="P5" s="18"/>
      <c r="Q5" s="18"/>
      <c r="R5" s="19"/>
    </row>
    <row r="6" spans="7:18">
      <c r="G6" s="17"/>
      <c r="H6" s="18"/>
      <c r="I6" s="18"/>
      <c r="J6" s="18"/>
      <c r="K6" s="18"/>
      <c r="L6" s="18"/>
      <c r="M6" s="18"/>
      <c r="N6" s="18"/>
      <c r="O6" s="18"/>
      <c r="P6" s="18"/>
      <c r="Q6" s="18"/>
      <c r="R6" s="19"/>
    </row>
    <row r="7" spans="7:18">
      <c r="G7" s="17"/>
      <c r="H7" s="18"/>
      <c r="I7" s="18"/>
      <c r="J7" s="18"/>
      <c r="K7" s="18"/>
      <c r="L7" s="18"/>
      <c r="M7" s="18"/>
      <c r="N7" s="18"/>
      <c r="O7" s="18"/>
      <c r="P7" s="18"/>
      <c r="Q7" s="18"/>
      <c r="R7" s="19"/>
    </row>
    <row r="8" spans="7:18">
      <c r="G8" s="17"/>
      <c r="H8" s="18"/>
      <c r="I8" s="18"/>
      <c r="J8" s="18"/>
      <c r="K8" s="18"/>
      <c r="L8" s="18"/>
      <c r="M8" s="18"/>
      <c r="N8" s="18"/>
      <c r="O8" s="18"/>
      <c r="P8" s="18"/>
      <c r="Q8" s="18"/>
      <c r="R8" s="19"/>
    </row>
    <row r="9" spans="7:18">
      <c r="G9" s="17"/>
      <c r="H9" s="18"/>
      <c r="I9" s="18"/>
      <c r="J9" s="18"/>
      <c r="K9" s="18"/>
      <c r="L9" s="18"/>
      <c r="M9" s="18"/>
      <c r="N9" s="18"/>
      <c r="O9" s="18"/>
      <c r="P9" s="18"/>
      <c r="Q9" s="18"/>
      <c r="R9" s="19"/>
    </row>
    <row r="10" spans="7:18">
      <c r="G10" s="17"/>
      <c r="H10" s="18"/>
      <c r="I10" s="18"/>
      <c r="J10" s="18"/>
      <c r="K10" s="18"/>
      <c r="L10" s="18"/>
      <c r="M10" s="18"/>
      <c r="N10" s="18"/>
      <c r="O10" s="18"/>
      <c r="P10" s="18"/>
      <c r="Q10" s="18"/>
      <c r="R10" s="19"/>
    </row>
    <row r="11" spans="7:18">
      <c r="G11" s="17"/>
      <c r="H11" s="18"/>
      <c r="I11" s="18"/>
      <c r="J11" s="18"/>
      <c r="K11" s="18"/>
      <c r="L11" s="18"/>
      <c r="M11" s="18"/>
      <c r="N11" s="18"/>
      <c r="O11" s="18"/>
      <c r="P11" s="18"/>
      <c r="Q11" s="18"/>
      <c r="R11" s="19"/>
    </row>
    <row r="12" spans="7:18">
      <c r="G12" s="17"/>
      <c r="H12" s="18"/>
      <c r="I12" s="18"/>
      <c r="J12" s="18"/>
      <c r="K12" s="18"/>
      <c r="L12" s="18"/>
      <c r="M12" s="18"/>
      <c r="N12" s="18"/>
      <c r="O12" s="18"/>
      <c r="P12" s="18"/>
      <c r="Q12" s="18"/>
      <c r="R12" s="19"/>
    </row>
    <row r="13" spans="7:18">
      <c r="G13" s="17"/>
      <c r="H13" s="18"/>
      <c r="I13" s="18"/>
      <c r="J13" s="18"/>
      <c r="K13" s="18"/>
      <c r="L13" s="18"/>
      <c r="M13" s="18"/>
      <c r="N13" s="18"/>
      <c r="O13" s="18"/>
      <c r="P13" s="18"/>
      <c r="Q13" s="18"/>
      <c r="R13" s="19"/>
    </row>
    <row r="14" spans="7:18" ht="15" customHeight="1">
      <c r="G14" s="17"/>
      <c r="H14" s="18"/>
      <c r="I14" s="28" t="s">
        <v>0</v>
      </c>
      <c r="J14" s="28"/>
      <c r="K14" s="28"/>
      <c r="L14" s="28"/>
      <c r="M14" s="28"/>
      <c r="N14" s="28"/>
      <c r="O14" s="28"/>
      <c r="P14" s="28"/>
      <c r="Q14" s="18"/>
      <c r="R14" s="19"/>
    </row>
    <row r="15" spans="7:18" ht="15" customHeight="1">
      <c r="G15" s="17"/>
      <c r="H15" s="18"/>
      <c r="I15" s="28"/>
      <c r="J15" s="28"/>
      <c r="K15" s="28"/>
      <c r="L15" s="28"/>
      <c r="M15" s="28"/>
      <c r="N15" s="28"/>
      <c r="O15" s="28"/>
      <c r="P15" s="28"/>
      <c r="Q15" s="18"/>
      <c r="R15" s="19"/>
    </row>
    <row r="16" spans="7:18" ht="18.75">
      <c r="G16" s="17"/>
      <c r="H16" s="26" t="s">
        <v>1</v>
      </c>
      <c r="I16" s="18"/>
      <c r="J16" s="18"/>
      <c r="K16" s="18"/>
      <c r="L16" s="18"/>
      <c r="M16" s="18"/>
      <c r="N16" s="18"/>
      <c r="O16" s="18"/>
      <c r="P16" s="18"/>
      <c r="Q16" s="18"/>
      <c r="R16" s="19"/>
    </row>
    <row r="17" spans="7:18" ht="8.25" customHeight="1">
      <c r="G17" s="17"/>
      <c r="H17" s="26"/>
      <c r="I17" s="18"/>
      <c r="J17" s="18"/>
      <c r="K17" s="18"/>
      <c r="L17" s="18"/>
      <c r="M17" s="18"/>
      <c r="N17" s="18"/>
      <c r="O17" s="18"/>
      <c r="P17" s="18"/>
      <c r="Q17" s="18"/>
      <c r="R17" s="19"/>
    </row>
    <row r="18" spans="7:18" ht="18.75">
      <c r="G18" s="17"/>
      <c r="H18" s="20" t="s">
        <v>2</v>
      </c>
      <c r="I18" s="21"/>
      <c r="J18" s="21"/>
      <c r="K18" s="18"/>
      <c r="L18" s="18"/>
      <c r="M18" s="18"/>
      <c r="N18" s="18"/>
      <c r="O18" s="18"/>
      <c r="P18" s="18"/>
      <c r="Q18" s="18"/>
      <c r="R18" s="19"/>
    </row>
    <row r="19" spans="7:18" ht="15.75">
      <c r="G19" s="17"/>
      <c r="H19" s="21"/>
      <c r="I19" s="21" t="s">
        <v>3</v>
      </c>
      <c r="J19" s="21"/>
      <c r="K19" s="18"/>
      <c r="L19" s="18"/>
      <c r="M19" s="18"/>
      <c r="N19" s="18"/>
      <c r="O19" s="18"/>
      <c r="P19" s="18"/>
      <c r="Q19" s="18"/>
      <c r="R19" s="19"/>
    </row>
    <row r="20" spans="7:18" ht="15.75">
      <c r="G20" s="17"/>
      <c r="H20" s="21"/>
      <c r="I20" s="21" t="s">
        <v>4</v>
      </c>
      <c r="J20" s="21"/>
      <c r="K20" s="18"/>
      <c r="L20" s="18"/>
      <c r="M20" s="18"/>
      <c r="N20" s="18"/>
      <c r="O20" s="18"/>
      <c r="P20" s="18"/>
      <c r="Q20" s="18"/>
      <c r="R20" s="19"/>
    </row>
    <row r="21" spans="7:18" ht="15.75">
      <c r="G21" s="17"/>
      <c r="H21" s="21"/>
      <c r="I21" s="21" t="s">
        <v>5</v>
      </c>
      <c r="J21" s="21"/>
      <c r="K21" s="18"/>
      <c r="L21" s="18"/>
      <c r="M21" s="18"/>
      <c r="N21" s="18"/>
      <c r="O21" s="18"/>
      <c r="P21" s="18"/>
      <c r="Q21" s="18"/>
      <c r="R21" s="19"/>
    </row>
    <row r="22" spans="7:18" ht="15.75">
      <c r="G22" s="17"/>
      <c r="H22" s="21"/>
      <c r="I22" s="21" t="s">
        <v>6</v>
      </c>
      <c r="J22" s="21"/>
      <c r="K22" s="18"/>
      <c r="L22" s="18"/>
      <c r="M22" s="18"/>
      <c r="N22" s="18"/>
      <c r="O22" s="18"/>
      <c r="P22" s="18"/>
      <c r="Q22" s="18"/>
      <c r="R22" s="19"/>
    </row>
    <row r="23" spans="7:18" ht="15.75">
      <c r="G23" s="17"/>
      <c r="H23" s="21"/>
      <c r="I23" s="21" t="s">
        <v>7</v>
      </c>
      <c r="J23" s="21"/>
      <c r="K23" s="18"/>
      <c r="L23" s="18"/>
      <c r="M23" s="18"/>
      <c r="N23" s="18"/>
      <c r="O23" s="18"/>
      <c r="P23" s="18"/>
      <c r="Q23" s="18"/>
      <c r="R23" s="19"/>
    </row>
    <row r="24" spans="7:18" ht="15.75">
      <c r="G24" s="17"/>
      <c r="H24" s="21"/>
      <c r="I24" s="21"/>
      <c r="J24" s="21"/>
      <c r="K24" s="18"/>
      <c r="L24" s="18"/>
      <c r="M24" s="18"/>
      <c r="N24" s="18"/>
      <c r="O24" s="18"/>
      <c r="P24" s="18"/>
      <c r="Q24" s="18"/>
      <c r="R24" s="19"/>
    </row>
    <row r="25" spans="7:18">
      <c r="G25" s="17"/>
      <c r="H25" s="18"/>
      <c r="I25" s="18"/>
      <c r="J25" s="18"/>
      <c r="K25" s="18"/>
      <c r="L25" s="18"/>
      <c r="M25" s="18"/>
      <c r="N25" s="18"/>
      <c r="O25" s="18"/>
      <c r="P25" s="18"/>
      <c r="Q25" s="18"/>
      <c r="R25" s="19"/>
    </row>
    <row r="26" spans="7:18">
      <c r="G26" s="17"/>
      <c r="H26" s="18"/>
      <c r="I26" s="18"/>
      <c r="J26" s="18"/>
      <c r="K26" s="18"/>
      <c r="L26" s="18"/>
      <c r="M26" s="18"/>
      <c r="N26" s="18"/>
      <c r="O26" s="18"/>
      <c r="P26" s="18"/>
      <c r="Q26" s="18"/>
      <c r="R26" s="19"/>
    </row>
    <row r="27" spans="7:18">
      <c r="G27" s="17"/>
      <c r="H27" s="18"/>
      <c r="I27" s="18"/>
      <c r="J27" s="18"/>
      <c r="K27" s="18"/>
      <c r="L27" s="18"/>
      <c r="M27" s="18"/>
      <c r="N27" s="18"/>
      <c r="O27" s="18"/>
      <c r="P27" s="18"/>
      <c r="Q27" s="18"/>
      <c r="R27" s="19"/>
    </row>
    <row r="28" spans="7:18">
      <c r="G28" s="17"/>
      <c r="H28" s="18"/>
      <c r="I28" s="18"/>
      <c r="J28" s="18"/>
      <c r="K28" s="18"/>
      <c r="L28" s="18"/>
      <c r="M28" s="18"/>
      <c r="N28" s="18"/>
      <c r="O28" s="18"/>
      <c r="P28" s="18"/>
      <c r="Q28" s="18"/>
      <c r="R28" s="19"/>
    </row>
    <row r="29" spans="7:18">
      <c r="G29" s="17"/>
      <c r="H29" s="18"/>
      <c r="I29" s="18"/>
      <c r="J29" s="18"/>
      <c r="K29" s="18"/>
      <c r="L29" s="18"/>
      <c r="M29" s="18"/>
      <c r="N29" s="18"/>
      <c r="O29" s="18"/>
      <c r="P29" s="18"/>
      <c r="Q29" s="18"/>
      <c r="R29" s="19"/>
    </row>
    <row r="30" spans="7:18">
      <c r="G30" s="17"/>
      <c r="H30" s="18"/>
      <c r="I30" s="18"/>
      <c r="J30" s="18"/>
      <c r="K30" s="18"/>
      <c r="L30" s="18"/>
      <c r="M30" s="18"/>
      <c r="N30" s="18"/>
      <c r="O30" s="18"/>
      <c r="P30" s="18"/>
      <c r="Q30" s="18"/>
      <c r="R30" s="19"/>
    </row>
    <row r="31" spans="7:18">
      <c r="G31" s="17"/>
      <c r="H31" s="18"/>
      <c r="I31" s="18"/>
      <c r="J31" s="18"/>
      <c r="K31" s="18"/>
      <c r="L31" s="18"/>
      <c r="M31" s="18"/>
      <c r="N31" s="18"/>
      <c r="O31" s="18"/>
      <c r="P31" s="18"/>
      <c r="Q31" s="18"/>
      <c r="R31" s="19"/>
    </row>
    <row r="32" spans="7:18">
      <c r="G32" s="22"/>
      <c r="H32" s="23"/>
      <c r="I32" s="23"/>
      <c r="J32" s="23"/>
      <c r="K32" s="23"/>
      <c r="L32" s="23"/>
      <c r="M32" s="23"/>
      <c r="N32" s="23"/>
      <c r="O32" s="23"/>
      <c r="P32" s="23"/>
      <c r="Q32" s="23"/>
      <c r="R32" s="24"/>
    </row>
  </sheetData>
  <mergeCells count="1">
    <mergeCell ref="I14:P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D4B4-DC03-486C-B2E9-52A35FB8BD25}">
  <sheetPr>
    <tabColor theme="3"/>
  </sheetPr>
  <dimension ref="A1:H107"/>
  <sheetViews>
    <sheetView topLeftCell="A21" workbookViewId="0">
      <selection activeCell="N39" sqref="N39"/>
    </sheetView>
  </sheetViews>
  <sheetFormatPr defaultRowHeight="15"/>
  <cols>
    <col min="1" max="1" width="10.5703125" bestFit="1" customWidth="1"/>
    <col min="2" max="2" width="16.28515625" bestFit="1" customWidth="1"/>
    <col min="3" max="3" width="12.7109375" bestFit="1" customWidth="1"/>
    <col min="4" max="4" width="12.140625" bestFit="1" customWidth="1"/>
    <col min="5" max="5" width="11.7109375" bestFit="1" customWidth="1"/>
    <col min="6" max="6" width="12.5703125" style="6" bestFit="1" customWidth="1"/>
    <col min="7" max="7" width="11.7109375" bestFit="1" customWidth="1"/>
    <col min="8" max="8" width="12.7109375" bestFit="1" customWidth="1"/>
    <col min="9" max="9" width="3.28515625" customWidth="1"/>
    <col min="20" max="20" width="9.42578125" customWidth="1"/>
  </cols>
  <sheetData>
    <row r="1" spans="1:8">
      <c r="A1" t="s">
        <v>8</v>
      </c>
      <c r="B1" t="s">
        <v>9</v>
      </c>
      <c r="C1" t="s">
        <v>10</v>
      </c>
      <c r="D1" t="s">
        <v>11</v>
      </c>
      <c r="E1" t="s">
        <v>12</v>
      </c>
      <c r="F1" s="6" t="s">
        <v>13</v>
      </c>
      <c r="G1" t="s">
        <v>14</v>
      </c>
      <c r="H1" t="s">
        <v>15</v>
      </c>
    </row>
    <row r="2" spans="1:8">
      <c r="A2" t="s">
        <v>16</v>
      </c>
      <c r="B2" t="s">
        <v>17</v>
      </c>
      <c r="C2" t="s">
        <v>18</v>
      </c>
      <c r="D2">
        <v>45</v>
      </c>
      <c r="E2">
        <v>2985</v>
      </c>
      <c r="F2" s="6">
        <v>134325</v>
      </c>
      <c r="G2" t="s">
        <v>19</v>
      </c>
      <c r="H2" s="1">
        <v>45379</v>
      </c>
    </row>
    <row r="3" spans="1:8">
      <c r="A3" t="s">
        <v>20</v>
      </c>
      <c r="B3" t="s">
        <v>21</v>
      </c>
      <c r="C3" t="s">
        <v>22</v>
      </c>
      <c r="D3">
        <v>16</v>
      </c>
      <c r="E3">
        <v>15076</v>
      </c>
      <c r="F3" s="6">
        <v>241216</v>
      </c>
      <c r="G3" t="s">
        <v>23</v>
      </c>
      <c r="H3" s="1">
        <v>45393</v>
      </c>
    </row>
    <row r="4" spans="1:8">
      <c r="A4" t="s">
        <v>24</v>
      </c>
      <c r="B4" t="s">
        <v>25</v>
      </c>
      <c r="C4" t="s">
        <v>22</v>
      </c>
      <c r="D4">
        <v>45</v>
      </c>
      <c r="E4">
        <v>14860</v>
      </c>
      <c r="F4" s="6">
        <v>668700</v>
      </c>
      <c r="G4" t="s">
        <v>26</v>
      </c>
      <c r="H4" s="1">
        <v>45430</v>
      </c>
    </row>
    <row r="5" spans="1:8">
      <c r="A5" t="s">
        <v>27</v>
      </c>
      <c r="B5" t="s">
        <v>28</v>
      </c>
      <c r="C5" t="s">
        <v>29</v>
      </c>
      <c r="D5">
        <v>21</v>
      </c>
      <c r="E5">
        <v>16237</v>
      </c>
      <c r="F5" s="6">
        <v>340977</v>
      </c>
      <c r="G5" t="s">
        <v>30</v>
      </c>
      <c r="H5" s="1">
        <v>45428</v>
      </c>
    </row>
    <row r="6" spans="1:8">
      <c r="A6" t="s">
        <v>31</v>
      </c>
      <c r="B6" t="s">
        <v>32</v>
      </c>
      <c r="C6" t="s">
        <v>22</v>
      </c>
      <c r="D6">
        <v>41</v>
      </c>
      <c r="E6">
        <v>9420</v>
      </c>
      <c r="F6" s="6">
        <v>386220</v>
      </c>
      <c r="G6" t="s">
        <v>33</v>
      </c>
      <c r="H6" s="1">
        <v>45343</v>
      </c>
    </row>
    <row r="7" spans="1:8">
      <c r="A7" t="s">
        <v>34</v>
      </c>
      <c r="B7" t="s">
        <v>35</v>
      </c>
      <c r="C7" t="s">
        <v>36</v>
      </c>
      <c r="D7">
        <v>34</v>
      </c>
      <c r="E7">
        <v>9745</v>
      </c>
      <c r="F7" s="6">
        <v>331330</v>
      </c>
      <c r="G7" t="s">
        <v>37</v>
      </c>
      <c r="H7" s="1">
        <v>45380</v>
      </c>
    </row>
    <row r="8" spans="1:8">
      <c r="A8" t="s">
        <v>38</v>
      </c>
      <c r="B8" t="s">
        <v>39</v>
      </c>
      <c r="C8" t="s">
        <v>40</v>
      </c>
      <c r="D8">
        <v>5</v>
      </c>
      <c r="E8">
        <v>17173</v>
      </c>
      <c r="F8" s="6">
        <v>85865</v>
      </c>
      <c r="G8" t="s">
        <v>41</v>
      </c>
      <c r="H8" s="1">
        <v>45378</v>
      </c>
    </row>
    <row r="9" spans="1:8">
      <c r="A9" t="s">
        <v>42</v>
      </c>
      <c r="B9" t="s">
        <v>35</v>
      </c>
      <c r="C9" t="s">
        <v>43</v>
      </c>
      <c r="D9">
        <v>20</v>
      </c>
      <c r="E9">
        <v>1392</v>
      </c>
      <c r="F9" s="6">
        <v>27840</v>
      </c>
      <c r="G9" t="s">
        <v>44</v>
      </c>
      <c r="H9" s="1">
        <v>45308</v>
      </c>
    </row>
    <row r="10" spans="1:8">
      <c r="A10" t="s">
        <v>45</v>
      </c>
      <c r="B10" t="s">
        <v>21</v>
      </c>
      <c r="C10" t="s">
        <v>46</v>
      </c>
      <c r="D10">
        <v>30</v>
      </c>
      <c r="E10">
        <v>10614</v>
      </c>
      <c r="F10" s="6">
        <v>318420</v>
      </c>
      <c r="G10" t="s">
        <v>47</v>
      </c>
      <c r="H10" s="1">
        <v>45417</v>
      </c>
    </row>
    <row r="11" spans="1:8">
      <c r="A11" t="s">
        <v>48</v>
      </c>
      <c r="B11" t="s">
        <v>35</v>
      </c>
      <c r="C11" t="s">
        <v>18</v>
      </c>
      <c r="D11">
        <v>39</v>
      </c>
      <c r="E11">
        <v>20114</v>
      </c>
      <c r="F11" s="6">
        <v>784446</v>
      </c>
      <c r="G11" t="s">
        <v>49</v>
      </c>
      <c r="H11" s="1">
        <v>45308</v>
      </c>
    </row>
    <row r="12" spans="1:8">
      <c r="A12" t="s">
        <v>50</v>
      </c>
      <c r="B12" t="s">
        <v>17</v>
      </c>
      <c r="C12" t="s">
        <v>43</v>
      </c>
      <c r="D12">
        <v>7</v>
      </c>
      <c r="E12">
        <v>11665</v>
      </c>
      <c r="F12" s="6">
        <v>81655</v>
      </c>
      <c r="G12" t="s">
        <v>51</v>
      </c>
      <c r="H12" s="1">
        <v>45435</v>
      </c>
    </row>
    <row r="13" spans="1:8">
      <c r="A13" t="s">
        <v>52</v>
      </c>
      <c r="B13" t="s">
        <v>35</v>
      </c>
      <c r="C13" t="s">
        <v>29</v>
      </c>
      <c r="D13">
        <v>16</v>
      </c>
      <c r="E13">
        <v>24838</v>
      </c>
      <c r="F13" s="6">
        <v>397408</v>
      </c>
      <c r="G13" t="s">
        <v>49</v>
      </c>
      <c r="H13" s="1">
        <v>45469</v>
      </c>
    </row>
    <row r="14" spans="1:8">
      <c r="A14" t="s">
        <v>53</v>
      </c>
      <c r="B14" t="s">
        <v>17</v>
      </c>
      <c r="C14" t="s">
        <v>22</v>
      </c>
      <c r="D14">
        <v>37</v>
      </c>
      <c r="E14">
        <v>14447</v>
      </c>
      <c r="F14" s="6">
        <v>534539</v>
      </c>
      <c r="G14" t="s">
        <v>54</v>
      </c>
      <c r="H14" s="1">
        <v>45316</v>
      </c>
    </row>
    <row r="15" spans="1:8">
      <c r="A15" t="s">
        <v>55</v>
      </c>
      <c r="B15" t="s">
        <v>32</v>
      </c>
      <c r="C15" t="s">
        <v>22</v>
      </c>
      <c r="D15">
        <v>46</v>
      </c>
      <c r="E15">
        <v>18624</v>
      </c>
      <c r="F15" s="6">
        <v>856704</v>
      </c>
      <c r="G15" t="s">
        <v>56</v>
      </c>
      <c r="H15" s="1">
        <v>45448</v>
      </c>
    </row>
    <row r="16" spans="1:8">
      <c r="A16" t="s">
        <v>57</v>
      </c>
      <c r="B16" t="s">
        <v>35</v>
      </c>
      <c r="C16" t="s">
        <v>22</v>
      </c>
      <c r="D16">
        <v>3</v>
      </c>
      <c r="E16">
        <v>14424</v>
      </c>
      <c r="F16" s="6">
        <v>43272</v>
      </c>
      <c r="G16" t="s">
        <v>58</v>
      </c>
      <c r="H16" s="1">
        <v>45441</v>
      </c>
    </row>
    <row r="17" spans="1:8">
      <c r="A17" t="s">
        <v>59</v>
      </c>
      <c r="B17" t="s">
        <v>35</v>
      </c>
      <c r="C17" t="s">
        <v>43</v>
      </c>
      <c r="D17">
        <v>37</v>
      </c>
      <c r="E17">
        <v>10416</v>
      </c>
      <c r="F17" s="6">
        <v>385392</v>
      </c>
      <c r="G17" t="s">
        <v>56</v>
      </c>
      <c r="H17" s="1">
        <v>45407</v>
      </c>
    </row>
    <row r="18" spans="1:8">
      <c r="A18" t="s">
        <v>60</v>
      </c>
      <c r="B18" t="s">
        <v>17</v>
      </c>
      <c r="C18" t="s">
        <v>46</v>
      </c>
      <c r="D18">
        <v>3</v>
      </c>
      <c r="E18">
        <v>7002</v>
      </c>
      <c r="F18" s="6">
        <v>21006</v>
      </c>
      <c r="G18" t="s">
        <v>51</v>
      </c>
      <c r="H18" s="1">
        <v>45306</v>
      </c>
    </row>
    <row r="19" spans="1:8">
      <c r="A19" t="s">
        <v>61</v>
      </c>
      <c r="B19" t="s">
        <v>17</v>
      </c>
      <c r="C19" t="s">
        <v>36</v>
      </c>
      <c r="D19">
        <v>20</v>
      </c>
      <c r="E19">
        <v>16955</v>
      </c>
      <c r="F19" s="6">
        <v>339100</v>
      </c>
      <c r="G19" t="s">
        <v>49</v>
      </c>
      <c r="H19" s="1">
        <v>45442</v>
      </c>
    </row>
    <row r="20" spans="1:8">
      <c r="A20" t="s">
        <v>62</v>
      </c>
      <c r="B20" t="s">
        <v>35</v>
      </c>
      <c r="C20" t="s">
        <v>22</v>
      </c>
      <c r="D20">
        <v>20</v>
      </c>
      <c r="E20">
        <v>13113</v>
      </c>
      <c r="F20" s="6">
        <v>262260</v>
      </c>
      <c r="G20" t="s">
        <v>44</v>
      </c>
      <c r="H20" s="1">
        <v>45376</v>
      </c>
    </row>
    <row r="21" spans="1:8">
      <c r="A21" t="s">
        <v>63</v>
      </c>
      <c r="B21" t="s">
        <v>35</v>
      </c>
      <c r="C21" t="s">
        <v>43</v>
      </c>
      <c r="D21">
        <v>39</v>
      </c>
      <c r="E21">
        <v>5363</v>
      </c>
      <c r="F21" s="6">
        <v>209157</v>
      </c>
      <c r="G21" t="s">
        <v>64</v>
      </c>
      <c r="H21" s="1">
        <v>45359</v>
      </c>
    </row>
    <row r="22" spans="1:8">
      <c r="A22" t="s">
        <v>65</v>
      </c>
      <c r="B22" t="s">
        <v>17</v>
      </c>
      <c r="C22" t="s">
        <v>22</v>
      </c>
      <c r="D22">
        <v>35</v>
      </c>
      <c r="E22">
        <v>10579</v>
      </c>
      <c r="F22" s="6">
        <v>370265</v>
      </c>
      <c r="G22" t="s">
        <v>41</v>
      </c>
      <c r="H22" s="1">
        <v>45365</v>
      </c>
    </row>
    <row r="23" spans="1:8">
      <c r="A23" t="s">
        <v>66</v>
      </c>
      <c r="B23" t="s">
        <v>21</v>
      </c>
      <c r="C23" t="s">
        <v>29</v>
      </c>
      <c r="D23">
        <v>43</v>
      </c>
      <c r="E23">
        <v>7719</v>
      </c>
      <c r="F23" s="6">
        <v>331917</v>
      </c>
      <c r="G23" t="s">
        <v>47</v>
      </c>
      <c r="H23" s="1">
        <v>45433</v>
      </c>
    </row>
    <row r="24" spans="1:8">
      <c r="A24" t="s">
        <v>67</v>
      </c>
      <c r="B24" t="s">
        <v>32</v>
      </c>
      <c r="C24" t="s">
        <v>18</v>
      </c>
      <c r="D24">
        <v>25</v>
      </c>
      <c r="E24">
        <v>927</v>
      </c>
      <c r="F24" s="6">
        <v>23175</v>
      </c>
      <c r="G24" t="s">
        <v>47</v>
      </c>
      <c r="H24" s="1">
        <v>45467</v>
      </c>
    </row>
    <row r="25" spans="1:8">
      <c r="A25" t="s">
        <v>68</v>
      </c>
      <c r="B25" t="s">
        <v>39</v>
      </c>
      <c r="C25" t="s">
        <v>43</v>
      </c>
      <c r="D25">
        <v>18</v>
      </c>
      <c r="E25">
        <v>11889</v>
      </c>
      <c r="F25" s="6">
        <v>214002</v>
      </c>
      <c r="G25" t="s">
        <v>37</v>
      </c>
      <c r="H25" s="1">
        <v>45321</v>
      </c>
    </row>
    <row r="26" spans="1:8">
      <c r="A26" t="s">
        <v>69</v>
      </c>
      <c r="B26" t="s">
        <v>39</v>
      </c>
      <c r="C26" t="s">
        <v>46</v>
      </c>
      <c r="D26">
        <v>23</v>
      </c>
      <c r="E26">
        <v>10409</v>
      </c>
      <c r="F26" s="6">
        <v>239407</v>
      </c>
      <c r="G26" t="s">
        <v>70</v>
      </c>
      <c r="H26" s="1">
        <v>45314</v>
      </c>
    </row>
    <row r="27" spans="1:8">
      <c r="A27" t="s">
        <v>71</v>
      </c>
      <c r="B27" t="s">
        <v>28</v>
      </c>
      <c r="C27" t="s">
        <v>29</v>
      </c>
      <c r="D27">
        <v>13</v>
      </c>
      <c r="E27">
        <v>11876</v>
      </c>
      <c r="F27" s="6">
        <v>154388</v>
      </c>
      <c r="G27" t="s">
        <v>54</v>
      </c>
      <c r="H27" s="1">
        <v>45300</v>
      </c>
    </row>
    <row r="28" spans="1:8">
      <c r="A28" t="s">
        <v>72</v>
      </c>
      <c r="B28" t="s">
        <v>21</v>
      </c>
      <c r="C28" t="s">
        <v>36</v>
      </c>
      <c r="D28">
        <v>42</v>
      </c>
      <c r="E28">
        <v>20811</v>
      </c>
      <c r="F28" s="6">
        <v>874062</v>
      </c>
      <c r="G28" t="s">
        <v>19</v>
      </c>
      <c r="H28" s="1">
        <v>45379</v>
      </c>
    </row>
    <row r="29" spans="1:8">
      <c r="A29" t="s">
        <v>73</v>
      </c>
      <c r="B29" t="s">
        <v>25</v>
      </c>
      <c r="C29" t="s">
        <v>18</v>
      </c>
      <c r="D29">
        <v>14</v>
      </c>
      <c r="E29">
        <v>19935</v>
      </c>
      <c r="F29" s="6">
        <v>279090</v>
      </c>
      <c r="G29" t="s">
        <v>74</v>
      </c>
      <c r="H29" s="1">
        <v>45361</v>
      </c>
    </row>
    <row r="30" spans="1:8">
      <c r="A30" t="s">
        <v>75</v>
      </c>
      <c r="B30" t="s">
        <v>21</v>
      </c>
      <c r="C30" t="s">
        <v>43</v>
      </c>
      <c r="D30">
        <v>37</v>
      </c>
      <c r="E30">
        <v>21001</v>
      </c>
      <c r="F30" s="6">
        <v>777037</v>
      </c>
      <c r="G30" t="s">
        <v>41</v>
      </c>
      <c r="H30" s="1">
        <v>45411</v>
      </c>
    </row>
    <row r="31" spans="1:8">
      <c r="A31" t="s">
        <v>76</v>
      </c>
      <c r="B31" t="s">
        <v>35</v>
      </c>
      <c r="C31" t="s">
        <v>29</v>
      </c>
      <c r="D31">
        <v>20</v>
      </c>
      <c r="E31">
        <v>10158</v>
      </c>
      <c r="F31" s="6">
        <v>203160</v>
      </c>
      <c r="G31" t="s">
        <v>41</v>
      </c>
      <c r="H31" s="1">
        <v>45455</v>
      </c>
    </row>
    <row r="32" spans="1:8">
      <c r="A32" t="s">
        <v>77</v>
      </c>
      <c r="B32" t="s">
        <v>35</v>
      </c>
      <c r="C32" t="s">
        <v>22</v>
      </c>
      <c r="D32">
        <v>16</v>
      </c>
      <c r="E32">
        <v>24995</v>
      </c>
      <c r="F32" s="6">
        <v>399920</v>
      </c>
      <c r="G32" t="s">
        <v>49</v>
      </c>
      <c r="H32" s="1">
        <v>45307</v>
      </c>
    </row>
    <row r="33" spans="1:8">
      <c r="A33" t="s">
        <v>78</v>
      </c>
      <c r="B33" t="s">
        <v>28</v>
      </c>
      <c r="C33" t="s">
        <v>36</v>
      </c>
      <c r="D33">
        <v>36</v>
      </c>
      <c r="E33">
        <v>20291</v>
      </c>
      <c r="F33" s="6">
        <v>730476</v>
      </c>
      <c r="G33" t="s">
        <v>37</v>
      </c>
      <c r="H33" s="1">
        <v>45384</v>
      </c>
    </row>
    <row r="34" spans="1:8">
      <c r="A34" t="s">
        <v>79</v>
      </c>
      <c r="B34" t="s">
        <v>32</v>
      </c>
      <c r="C34" t="s">
        <v>46</v>
      </c>
      <c r="D34">
        <v>19</v>
      </c>
      <c r="E34">
        <v>5772</v>
      </c>
      <c r="F34" s="6">
        <v>109668</v>
      </c>
      <c r="G34" t="s">
        <v>70</v>
      </c>
      <c r="H34" s="1">
        <v>45334</v>
      </c>
    </row>
    <row r="35" spans="1:8">
      <c r="A35" t="s">
        <v>80</v>
      </c>
      <c r="B35" t="s">
        <v>28</v>
      </c>
      <c r="C35" t="s">
        <v>18</v>
      </c>
      <c r="D35">
        <v>28</v>
      </c>
      <c r="E35">
        <v>5438</v>
      </c>
      <c r="F35" s="6">
        <v>152264</v>
      </c>
      <c r="G35" t="s">
        <v>26</v>
      </c>
      <c r="H35" s="1">
        <v>45383</v>
      </c>
    </row>
    <row r="36" spans="1:8">
      <c r="A36" t="s">
        <v>81</v>
      </c>
      <c r="B36" t="s">
        <v>32</v>
      </c>
      <c r="C36" t="s">
        <v>40</v>
      </c>
      <c r="D36">
        <v>46</v>
      </c>
      <c r="E36">
        <v>14321</v>
      </c>
      <c r="F36" s="6">
        <v>658766</v>
      </c>
      <c r="G36" t="s">
        <v>51</v>
      </c>
      <c r="H36" s="1">
        <v>45311</v>
      </c>
    </row>
    <row r="37" spans="1:8">
      <c r="A37" t="s">
        <v>82</v>
      </c>
      <c r="B37" t="s">
        <v>32</v>
      </c>
      <c r="C37" t="s">
        <v>46</v>
      </c>
      <c r="D37">
        <v>35</v>
      </c>
      <c r="E37">
        <v>15080</v>
      </c>
      <c r="F37" s="6">
        <v>527800</v>
      </c>
      <c r="G37" t="s">
        <v>58</v>
      </c>
      <c r="H37" s="1">
        <v>45348</v>
      </c>
    </row>
    <row r="38" spans="1:8">
      <c r="A38" t="s">
        <v>83</v>
      </c>
      <c r="B38" t="s">
        <v>32</v>
      </c>
      <c r="C38" t="s">
        <v>36</v>
      </c>
      <c r="D38">
        <v>4</v>
      </c>
      <c r="E38">
        <v>24308</v>
      </c>
      <c r="F38" s="6">
        <v>97232</v>
      </c>
      <c r="G38" t="s">
        <v>49</v>
      </c>
      <c r="H38" s="1">
        <v>45415</v>
      </c>
    </row>
    <row r="39" spans="1:8">
      <c r="A39" t="s">
        <v>84</v>
      </c>
      <c r="B39" t="s">
        <v>35</v>
      </c>
      <c r="C39" t="s">
        <v>22</v>
      </c>
      <c r="D39">
        <v>2</v>
      </c>
      <c r="E39">
        <v>16028</v>
      </c>
      <c r="F39" s="6">
        <v>32056</v>
      </c>
      <c r="G39" t="s">
        <v>44</v>
      </c>
      <c r="H39" s="1">
        <v>45329</v>
      </c>
    </row>
    <row r="40" spans="1:8">
      <c r="A40" t="s">
        <v>85</v>
      </c>
      <c r="B40" t="s">
        <v>17</v>
      </c>
      <c r="C40" t="s">
        <v>43</v>
      </c>
      <c r="D40">
        <v>44</v>
      </c>
      <c r="E40">
        <v>7682</v>
      </c>
      <c r="F40" s="6">
        <v>338008</v>
      </c>
      <c r="G40" t="s">
        <v>54</v>
      </c>
      <c r="H40" s="1">
        <v>45457</v>
      </c>
    </row>
    <row r="41" spans="1:8">
      <c r="A41" t="s">
        <v>86</v>
      </c>
      <c r="B41" t="s">
        <v>28</v>
      </c>
      <c r="C41" t="s">
        <v>18</v>
      </c>
      <c r="D41">
        <v>40</v>
      </c>
      <c r="E41">
        <v>2424</v>
      </c>
      <c r="F41" s="6">
        <v>96960</v>
      </c>
      <c r="G41" t="s">
        <v>87</v>
      </c>
      <c r="H41" s="1">
        <v>45292</v>
      </c>
    </row>
    <row r="42" spans="1:8">
      <c r="A42" t="s">
        <v>88</v>
      </c>
      <c r="B42" t="s">
        <v>17</v>
      </c>
      <c r="C42" t="s">
        <v>36</v>
      </c>
      <c r="D42">
        <v>6</v>
      </c>
      <c r="E42">
        <v>1319</v>
      </c>
      <c r="F42" s="6">
        <v>7914</v>
      </c>
      <c r="G42" t="s">
        <v>37</v>
      </c>
      <c r="H42" s="1">
        <v>45351</v>
      </c>
    </row>
    <row r="43" spans="1:8">
      <c r="A43" t="s">
        <v>89</v>
      </c>
      <c r="B43" t="s">
        <v>39</v>
      </c>
      <c r="C43" t="s">
        <v>40</v>
      </c>
      <c r="D43">
        <v>33</v>
      </c>
      <c r="E43">
        <v>12065</v>
      </c>
      <c r="F43" s="6">
        <v>398145</v>
      </c>
      <c r="G43" t="s">
        <v>37</v>
      </c>
      <c r="H43" s="1">
        <v>45388</v>
      </c>
    </row>
    <row r="44" spans="1:8">
      <c r="A44" t="s">
        <v>90</v>
      </c>
      <c r="B44" t="s">
        <v>32</v>
      </c>
      <c r="C44" t="s">
        <v>46</v>
      </c>
      <c r="D44">
        <v>16</v>
      </c>
      <c r="E44">
        <v>9128</v>
      </c>
      <c r="F44" s="6">
        <v>146048</v>
      </c>
      <c r="G44" t="s">
        <v>44</v>
      </c>
      <c r="H44" s="1">
        <v>45312</v>
      </c>
    </row>
    <row r="45" spans="1:8">
      <c r="A45" t="s">
        <v>91</v>
      </c>
      <c r="B45" t="s">
        <v>21</v>
      </c>
      <c r="C45" t="s">
        <v>22</v>
      </c>
      <c r="D45">
        <v>2</v>
      </c>
      <c r="E45">
        <v>20962</v>
      </c>
      <c r="F45" s="6">
        <v>41924</v>
      </c>
      <c r="G45" t="s">
        <v>87</v>
      </c>
      <c r="H45" s="1">
        <v>45391</v>
      </c>
    </row>
    <row r="46" spans="1:8">
      <c r="A46" t="s">
        <v>92</v>
      </c>
      <c r="B46" t="s">
        <v>25</v>
      </c>
      <c r="C46" t="s">
        <v>36</v>
      </c>
      <c r="D46">
        <v>20</v>
      </c>
      <c r="E46">
        <v>18902</v>
      </c>
      <c r="F46" s="6">
        <v>378040</v>
      </c>
      <c r="G46" t="s">
        <v>70</v>
      </c>
      <c r="H46" s="1">
        <v>45333</v>
      </c>
    </row>
    <row r="47" spans="1:8">
      <c r="A47" t="s">
        <v>93</v>
      </c>
      <c r="B47" t="s">
        <v>39</v>
      </c>
      <c r="C47" t="s">
        <v>40</v>
      </c>
      <c r="D47">
        <v>5</v>
      </c>
      <c r="E47">
        <v>2225</v>
      </c>
      <c r="F47" s="6">
        <v>11125</v>
      </c>
      <c r="G47" t="s">
        <v>64</v>
      </c>
      <c r="H47" s="1">
        <v>45308</v>
      </c>
    </row>
    <row r="48" spans="1:8">
      <c r="A48" t="s">
        <v>94</v>
      </c>
      <c r="B48" t="s">
        <v>35</v>
      </c>
      <c r="C48" t="s">
        <v>22</v>
      </c>
      <c r="D48">
        <v>24</v>
      </c>
      <c r="E48">
        <v>16010</v>
      </c>
      <c r="F48" s="6">
        <v>384240</v>
      </c>
      <c r="G48" t="s">
        <v>58</v>
      </c>
      <c r="H48" s="1">
        <v>45367</v>
      </c>
    </row>
    <row r="49" spans="1:8">
      <c r="A49" t="s">
        <v>95</v>
      </c>
      <c r="B49" t="s">
        <v>35</v>
      </c>
      <c r="C49" t="s">
        <v>22</v>
      </c>
      <c r="D49">
        <v>47</v>
      </c>
      <c r="E49">
        <v>16719</v>
      </c>
      <c r="F49" s="6">
        <v>785793</v>
      </c>
      <c r="G49" t="s">
        <v>56</v>
      </c>
      <c r="H49" s="1">
        <v>45317</v>
      </c>
    </row>
    <row r="50" spans="1:8">
      <c r="A50" t="s">
        <v>96</v>
      </c>
      <c r="B50" t="s">
        <v>17</v>
      </c>
      <c r="C50" t="s">
        <v>43</v>
      </c>
      <c r="D50">
        <v>44</v>
      </c>
      <c r="E50">
        <v>15431</v>
      </c>
      <c r="F50" s="6">
        <v>678964</v>
      </c>
      <c r="G50" t="s">
        <v>30</v>
      </c>
      <c r="H50" s="1">
        <v>45293</v>
      </c>
    </row>
    <row r="51" spans="1:8">
      <c r="A51" t="s">
        <v>97</v>
      </c>
      <c r="B51" t="s">
        <v>39</v>
      </c>
      <c r="C51" t="s">
        <v>43</v>
      </c>
      <c r="D51">
        <v>43</v>
      </c>
      <c r="E51">
        <v>10101</v>
      </c>
      <c r="F51" s="6">
        <v>434343</v>
      </c>
      <c r="G51" t="s">
        <v>23</v>
      </c>
      <c r="H51" s="1">
        <v>45300</v>
      </c>
    </row>
    <row r="52" spans="1:8">
      <c r="A52" t="s">
        <v>98</v>
      </c>
      <c r="B52" t="s">
        <v>17</v>
      </c>
      <c r="C52" t="s">
        <v>29</v>
      </c>
      <c r="D52">
        <v>27</v>
      </c>
      <c r="E52">
        <v>8072</v>
      </c>
      <c r="F52" s="6">
        <v>217944</v>
      </c>
      <c r="G52" t="s">
        <v>49</v>
      </c>
      <c r="H52" s="1">
        <v>45301</v>
      </c>
    </row>
    <row r="53" spans="1:8">
      <c r="A53" t="s">
        <v>99</v>
      </c>
      <c r="B53" t="s">
        <v>35</v>
      </c>
      <c r="C53" t="s">
        <v>46</v>
      </c>
      <c r="D53">
        <v>42</v>
      </c>
      <c r="E53">
        <v>4758</v>
      </c>
      <c r="F53" s="6">
        <v>199836</v>
      </c>
      <c r="G53" t="s">
        <v>74</v>
      </c>
      <c r="H53" s="1">
        <v>45472</v>
      </c>
    </row>
    <row r="54" spans="1:8">
      <c r="A54" t="s">
        <v>100</v>
      </c>
      <c r="B54" t="s">
        <v>17</v>
      </c>
      <c r="C54" t="s">
        <v>22</v>
      </c>
      <c r="D54">
        <v>26</v>
      </c>
      <c r="E54">
        <v>24073</v>
      </c>
      <c r="F54" s="6">
        <v>625898</v>
      </c>
      <c r="G54" t="s">
        <v>30</v>
      </c>
      <c r="H54" s="1">
        <v>45342</v>
      </c>
    </row>
    <row r="55" spans="1:8">
      <c r="A55" t="s">
        <v>101</v>
      </c>
      <c r="B55" t="s">
        <v>39</v>
      </c>
      <c r="C55" t="s">
        <v>40</v>
      </c>
      <c r="D55">
        <v>25</v>
      </c>
      <c r="E55">
        <v>21240</v>
      </c>
      <c r="F55" s="6">
        <v>531000</v>
      </c>
      <c r="G55" t="s">
        <v>70</v>
      </c>
      <c r="H55" s="1">
        <v>45307</v>
      </c>
    </row>
    <row r="56" spans="1:8">
      <c r="A56" t="s">
        <v>102</v>
      </c>
      <c r="B56" t="s">
        <v>39</v>
      </c>
      <c r="C56" t="s">
        <v>18</v>
      </c>
      <c r="D56">
        <v>46</v>
      </c>
      <c r="E56">
        <v>15607</v>
      </c>
      <c r="F56" s="6">
        <v>717922</v>
      </c>
      <c r="G56" t="s">
        <v>33</v>
      </c>
      <c r="H56" s="1">
        <v>45311</v>
      </c>
    </row>
    <row r="57" spans="1:8">
      <c r="A57" t="s">
        <v>103</v>
      </c>
      <c r="B57" t="s">
        <v>39</v>
      </c>
      <c r="C57" t="s">
        <v>36</v>
      </c>
      <c r="D57">
        <v>44</v>
      </c>
      <c r="E57">
        <v>23250</v>
      </c>
      <c r="F57" s="6">
        <v>1023000</v>
      </c>
      <c r="G57" t="s">
        <v>104</v>
      </c>
      <c r="H57" s="1">
        <v>45411</v>
      </c>
    </row>
    <row r="58" spans="1:8">
      <c r="A58" t="s">
        <v>105</v>
      </c>
      <c r="B58" t="s">
        <v>25</v>
      </c>
      <c r="C58" t="s">
        <v>22</v>
      </c>
      <c r="D58">
        <v>23</v>
      </c>
      <c r="E58">
        <v>4808</v>
      </c>
      <c r="F58" s="6">
        <v>110584</v>
      </c>
      <c r="G58" t="s">
        <v>74</v>
      </c>
      <c r="H58" s="1">
        <v>45304</v>
      </c>
    </row>
    <row r="59" spans="1:8">
      <c r="A59" t="s">
        <v>106</v>
      </c>
      <c r="B59" t="s">
        <v>35</v>
      </c>
      <c r="C59" t="s">
        <v>40</v>
      </c>
      <c r="D59">
        <v>5</v>
      </c>
      <c r="E59">
        <v>7183</v>
      </c>
      <c r="F59" s="6">
        <v>35915</v>
      </c>
      <c r="G59" t="s">
        <v>87</v>
      </c>
      <c r="H59" s="1">
        <v>45338</v>
      </c>
    </row>
    <row r="60" spans="1:8">
      <c r="A60" t="s">
        <v>107</v>
      </c>
      <c r="B60" t="s">
        <v>32</v>
      </c>
      <c r="C60" t="s">
        <v>22</v>
      </c>
      <c r="D60">
        <v>34</v>
      </c>
      <c r="E60">
        <v>15062</v>
      </c>
      <c r="F60" s="6">
        <v>512108</v>
      </c>
      <c r="G60" t="s">
        <v>58</v>
      </c>
      <c r="H60" s="1">
        <v>45443</v>
      </c>
    </row>
    <row r="61" spans="1:8">
      <c r="A61" t="s">
        <v>108</v>
      </c>
      <c r="B61" t="s">
        <v>17</v>
      </c>
      <c r="C61" t="s">
        <v>22</v>
      </c>
      <c r="D61">
        <v>28</v>
      </c>
      <c r="E61">
        <v>23794</v>
      </c>
      <c r="F61" s="6">
        <v>666232</v>
      </c>
      <c r="G61" t="s">
        <v>44</v>
      </c>
      <c r="H61" s="1">
        <v>45408</v>
      </c>
    </row>
    <row r="62" spans="1:8">
      <c r="A62" t="s">
        <v>109</v>
      </c>
      <c r="B62" t="s">
        <v>35</v>
      </c>
      <c r="C62" t="s">
        <v>43</v>
      </c>
      <c r="D62">
        <v>44</v>
      </c>
      <c r="E62">
        <v>6455</v>
      </c>
      <c r="F62" s="6">
        <v>284020</v>
      </c>
      <c r="G62" t="s">
        <v>56</v>
      </c>
      <c r="H62" s="1">
        <v>45334</v>
      </c>
    </row>
    <row r="63" spans="1:8">
      <c r="A63" t="s">
        <v>110</v>
      </c>
      <c r="B63" t="s">
        <v>28</v>
      </c>
      <c r="C63" t="s">
        <v>43</v>
      </c>
      <c r="D63">
        <v>39</v>
      </c>
      <c r="E63">
        <v>11109</v>
      </c>
      <c r="F63" s="6">
        <v>433251</v>
      </c>
      <c r="G63" t="s">
        <v>19</v>
      </c>
      <c r="H63" s="1">
        <v>45333</v>
      </c>
    </row>
    <row r="64" spans="1:8">
      <c r="A64" t="s">
        <v>111</v>
      </c>
      <c r="B64" t="s">
        <v>32</v>
      </c>
      <c r="C64" t="s">
        <v>43</v>
      </c>
      <c r="D64">
        <v>48</v>
      </c>
      <c r="E64">
        <v>15425</v>
      </c>
      <c r="F64" s="6">
        <v>740400</v>
      </c>
      <c r="G64" t="s">
        <v>64</v>
      </c>
      <c r="H64" s="1">
        <v>45466</v>
      </c>
    </row>
    <row r="65" spans="1:8">
      <c r="A65" t="s">
        <v>112</v>
      </c>
      <c r="B65" t="s">
        <v>28</v>
      </c>
      <c r="C65" t="s">
        <v>43</v>
      </c>
      <c r="D65">
        <v>30</v>
      </c>
      <c r="E65">
        <v>9479</v>
      </c>
      <c r="F65" s="6">
        <v>284370</v>
      </c>
      <c r="G65" t="s">
        <v>70</v>
      </c>
      <c r="H65" s="1">
        <v>45337</v>
      </c>
    </row>
    <row r="66" spans="1:8">
      <c r="A66" t="s">
        <v>113</v>
      </c>
      <c r="B66" t="s">
        <v>25</v>
      </c>
      <c r="C66" t="s">
        <v>36</v>
      </c>
      <c r="D66">
        <v>26</v>
      </c>
      <c r="E66">
        <v>5734</v>
      </c>
      <c r="F66" s="6">
        <v>149084</v>
      </c>
      <c r="G66" t="s">
        <v>56</v>
      </c>
      <c r="H66" s="1">
        <v>45301</v>
      </c>
    </row>
    <row r="67" spans="1:8">
      <c r="A67" t="s">
        <v>114</v>
      </c>
      <c r="B67" t="s">
        <v>32</v>
      </c>
      <c r="C67" t="s">
        <v>40</v>
      </c>
      <c r="D67">
        <v>18</v>
      </c>
      <c r="E67">
        <v>24495</v>
      </c>
      <c r="F67" s="6">
        <v>440910</v>
      </c>
      <c r="G67" t="s">
        <v>37</v>
      </c>
      <c r="H67" s="1">
        <v>45310</v>
      </c>
    </row>
    <row r="68" spans="1:8">
      <c r="A68" t="s">
        <v>115</v>
      </c>
      <c r="B68" t="s">
        <v>39</v>
      </c>
      <c r="C68" t="s">
        <v>29</v>
      </c>
      <c r="D68">
        <v>25</v>
      </c>
      <c r="E68">
        <v>17989</v>
      </c>
      <c r="F68" s="6">
        <v>449725</v>
      </c>
      <c r="G68" t="s">
        <v>41</v>
      </c>
      <c r="H68" s="1">
        <v>45445</v>
      </c>
    </row>
    <row r="69" spans="1:8">
      <c r="A69" t="s">
        <v>116</v>
      </c>
      <c r="B69" t="s">
        <v>25</v>
      </c>
      <c r="C69" t="s">
        <v>36</v>
      </c>
      <c r="D69">
        <v>47</v>
      </c>
      <c r="E69">
        <v>1862</v>
      </c>
      <c r="F69" s="6">
        <v>87514</v>
      </c>
      <c r="G69" t="s">
        <v>47</v>
      </c>
      <c r="H69" s="1">
        <v>45300</v>
      </c>
    </row>
    <row r="70" spans="1:8">
      <c r="A70" t="s">
        <v>117</v>
      </c>
      <c r="B70" t="s">
        <v>35</v>
      </c>
      <c r="C70" t="s">
        <v>22</v>
      </c>
      <c r="D70">
        <v>21</v>
      </c>
      <c r="E70">
        <v>20353</v>
      </c>
      <c r="F70" s="6">
        <v>427413</v>
      </c>
      <c r="G70" t="s">
        <v>87</v>
      </c>
      <c r="H70" s="1">
        <v>45356</v>
      </c>
    </row>
    <row r="71" spans="1:8">
      <c r="A71" t="s">
        <v>118</v>
      </c>
      <c r="B71" t="s">
        <v>28</v>
      </c>
      <c r="C71" t="s">
        <v>36</v>
      </c>
      <c r="D71">
        <v>48</v>
      </c>
      <c r="E71">
        <v>13228</v>
      </c>
      <c r="F71" s="6">
        <v>634944</v>
      </c>
      <c r="G71" t="s">
        <v>33</v>
      </c>
      <c r="H71" s="1">
        <v>45430</v>
      </c>
    </row>
    <row r="72" spans="1:8">
      <c r="A72" t="s">
        <v>119</v>
      </c>
      <c r="B72" t="s">
        <v>39</v>
      </c>
      <c r="C72" t="s">
        <v>29</v>
      </c>
      <c r="D72">
        <v>43</v>
      </c>
      <c r="E72">
        <v>10407</v>
      </c>
      <c r="F72" s="6">
        <v>447501</v>
      </c>
      <c r="G72" t="s">
        <v>26</v>
      </c>
      <c r="H72" s="1">
        <v>45453</v>
      </c>
    </row>
    <row r="73" spans="1:8">
      <c r="A73" t="s">
        <v>120</v>
      </c>
      <c r="B73" t="s">
        <v>21</v>
      </c>
      <c r="C73" t="s">
        <v>22</v>
      </c>
      <c r="D73">
        <v>14</v>
      </c>
      <c r="E73">
        <v>4520</v>
      </c>
      <c r="F73" s="6">
        <v>63280</v>
      </c>
      <c r="G73" t="s">
        <v>23</v>
      </c>
      <c r="H73" s="1">
        <v>45405</v>
      </c>
    </row>
    <row r="74" spans="1:8">
      <c r="A74" t="s">
        <v>121</v>
      </c>
      <c r="B74" t="s">
        <v>28</v>
      </c>
      <c r="C74" t="s">
        <v>22</v>
      </c>
      <c r="D74">
        <v>3</v>
      </c>
      <c r="E74">
        <v>3864</v>
      </c>
      <c r="F74" s="6">
        <v>11592</v>
      </c>
      <c r="G74" t="s">
        <v>51</v>
      </c>
      <c r="H74" s="1">
        <v>45403</v>
      </c>
    </row>
    <row r="75" spans="1:8">
      <c r="A75" t="s">
        <v>122</v>
      </c>
      <c r="B75" t="s">
        <v>39</v>
      </c>
      <c r="C75" t="s">
        <v>22</v>
      </c>
      <c r="D75">
        <v>44</v>
      </c>
      <c r="E75">
        <v>12696</v>
      </c>
      <c r="F75" s="6">
        <v>558624</v>
      </c>
      <c r="G75" t="s">
        <v>51</v>
      </c>
      <c r="H75" s="1">
        <v>45425</v>
      </c>
    </row>
    <row r="76" spans="1:8">
      <c r="A76" t="s">
        <v>123</v>
      </c>
      <c r="B76" t="s">
        <v>21</v>
      </c>
      <c r="C76" t="s">
        <v>40</v>
      </c>
      <c r="D76">
        <v>25</v>
      </c>
      <c r="E76">
        <v>3253</v>
      </c>
      <c r="F76" s="6">
        <v>81325</v>
      </c>
      <c r="G76" t="s">
        <v>37</v>
      </c>
      <c r="H76" s="1">
        <v>45383</v>
      </c>
    </row>
    <row r="77" spans="1:8">
      <c r="A77" t="s">
        <v>124</v>
      </c>
      <c r="B77" t="s">
        <v>21</v>
      </c>
      <c r="C77" t="s">
        <v>46</v>
      </c>
      <c r="D77">
        <v>14</v>
      </c>
      <c r="E77">
        <v>1687</v>
      </c>
      <c r="F77" s="6">
        <v>23618</v>
      </c>
      <c r="G77" t="s">
        <v>41</v>
      </c>
      <c r="H77" s="1">
        <v>45450</v>
      </c>
    </row>
    <row r="78" spans="1:8">
      <c r="A78" t="s">
        <v>125</v>
      </c>
      <c r="B78" t="s">
        <v>39</v>
      </c>
      <c r="C78" t="s">
        <v>22</v>
      </c>
      <c r="D78">
        <v>40</v>
      </c>
      <c r="E78">
        <v>5994</v>
      </c>
      <c r="F78" s="6">
        <v>239760</v>
      </c>
      <c r="G78" t="s">
        <v>64</v>
      </c>
      <c r="H78" s="1">
        <v>45338</v>
      </c>
    </row>
    <row r="79" spans="1:8">
      <c r="A79" t="s">
        <v>126</v>
      </c>
      <c r="B79" t="s">
        <v>21</v>
      </c>
      <c r="C79" t="s">
        <v>18</v>
      </c>
      <c r="D79">
        <v>49</v>
      </c>
      <c r="E79">
        <v>14831</v>
      </c>
      <c r="F79" s="6">
        <v>726719</v>
      </c>
      <c r="G79" t="s">
        <v>54</v>
      </c>
      <c r="H79" s="1">
        <v>45410</v>
      </c>
    </row>
    <row r="80" spans="1:8">
      <c r="A80" t="s">
        <v>127</v>
      </c>
      <c r="B80" t="s">
        <v>35</v>
      </c>
      <c r="C80" t="s">
        <v>46</v>
      </c>
      <c r="D80">
        <v>11</v>
      </c>
      <c r="E80">
        <v>8082</v>
      </c>
      <c r="F80" s="6">
        <v>88902</v>
      </c>
      <c r="G80" t="s">
        <v>33</v>
      </c>
      <c r="H80" s="1">
        <v>45375</v>
      </c>
    </row>
    <row r="81" spans="1:8">
      <c r="A81" t="s">
        <v>128</v>
      </c>
      <c r="B81" t="s">
        <v>39</v>
      </c>
      <c r="C81" t="s">
        <v>22</v>
      </c>
      <c r="D81">
        <v>47</v>
      </c>
      <c r="E81">
        <v>22132</v>
      </c>
      <c r="F81" s="6">
        <v>1040204</v>
      </c>
      <c r="G81" t="s">
        <v>30</v>
      </c>
      <c r="H81" s="1">
        <v>45457</v>
      </c>
    </row>
    <row r="82" spans="1:8">
      <c r="A82" t="s">
        <v>129</v>
      </c>
      <c r="B82" t="s">
        <v>32</v>
      </c>
      <c r="C82" t="s">
        <v>18</v>
      </c>
      <c r="D82">
        <v>47</v>
      </c>
      <c r="E82">
        <v>6658</v>
      </c>
      <c r="F82" s="6">
        <v>312926</v>
      </c>
      <c r="G82" t="s">
        <v>58</v>
      </c>
      <c r="H82" s="1">
        <v>45434</v>
      </c>
    </row>
    <row r="83" spans="1:8">
      <c r="A83" t="s">
        <v>130</v>
      </c>
      <c r="B83" t="s">
        <v>35</v>
      </c>
      <c r="C83" t="s">
        <v>46</v>
      </c>
      <c r="D83">
        <v>45</v>
      </c>
      <c r="E83">
        <v>1238</v>
      </c>
      <c r="F83" s="6">
        <v>55710</v>
      </c>
      <c r="G83" t="s">
        <v>26</v>
      </c>
      <c r="H83" s="1">
        <v>45456</v>
      </c>
    </row>
    <row r="84" spans="1:8">
      <c r="A84" t="s">
        <v>131</v>
      </c>
      <c r="B84" t="s">
        <v>39</v>
      </c>
      <c r="C84" t="s">
        <v>40</v>
      </c>
      <c r="D84">
        <v>47</v>
      </c>
      <c r="E84">
        <v>14799</v>
      </c>
      <c r="F84" s="6">
        <v>695553</v>
      </c>
      <c r="G84" t="s">
        <v>41</v>
      </c>
      <c r="H84" s="1">
        <v>45331</v>
      </c>
    </row>
    <row r="85" spans="1:8">
      <c r="A85" t="s">
        <v>132</v>
      </c>
      <c r="B85" t="s">
        <v>25</v>
      </c>
      <c r="C85" t="s">
        <v>36</v>
      </c>
      <c r="D85">
        <v>22</v>
      </c>
      <c r="E85">
        <v>22023</v>
      </c>
      <c r="F85" s="6">
        <v>484506</v>
      </c>
      <c r="G85" t="s">
        <v>104</v>
      </c>
      <c r="H85" s="1">
        <v>45318</v>
      </c>
    </row>
    <row r="86" spans="1:8">
      <c r="A86" t="s">
        <v>133</v>
      </c>
      <c r="B86" t="s">
        <v>32</v>
      </c>
      <c r="C86" t="s">
        <v>36</v>
      </c>
      <c r="D86">
        <v>31</v>
      </c>
      <c r="E86">
        <v>3210</v>
      </c>
      <c r="F86" s="6">
        <v>99510</v>
      </c>
      <c r="G86" t="s">
        <v>64</v>
      </c>
      <c r="H86" s="1">
        <v>45296</v>
      </c>
    </row>
    <row r="87" spans="1:8">
      <c r="A87" t="s">
        <v>134</v>
      </c>
      <c r="B87" t="s">
        <v>17</v>
      </c>
      <c r="C87" t="s">
        <v>18</v>
      </c>
      <c r="D87">
        <v>25</v>
      </c>
      <c r="E87">
        <v>1580</v>
      </c>
      <c r="F87" s="6">
        <v>39500</v>
      </c>
      <c r="G87" t="s">
        <v>47</v>
      </c>
      <c r="H87" s="1">
        <v>45343</v>
      </c>
    </row>
    <row r="88" spans="1:8">
      <c r="A88" t="s">
        <v>135</v>
      </c>
      <c r="B88" t="s">
        <v>17</v>
      </c>
      <c r="C88" t="s">
        <v>43</v>
      </c>
      <c r="D88">
        <v>37</v>
      </c>
      <c r="E88">
        <v>17564</v>
      </c>
      <c r="F88" s="6">
        <v>649868</v>
      </c>
      <c r="G88" t="s">
        <v>136</v>
      </c>
      <c r="H88" s="1">
        <v>45330</v>
      </c>
    </row>
    <row r="89" spans="1:8">
      <c r="A89" t="s">
        <v>137</v>
      </c>
      <c r="B89" t="s">
        <v>21</v>
      </c>
      <c r="C89" t="s">
        <v>43</v>
      </c>
      <c r="D89">
        <v>44</v>
      </c>
      <c r="E89">
        <v>14178</v>
      </c>
      <c r="F89" s="6">
        <v>623832</v>
      </c>
      <c r="G89" t="s">
        <v>49</v>
      </c>
      <c r="H89" s="1">
        <v>45390</v>
      </c>
    </row>
    <row r="90" spans="1:8">
      <c r="A90" t="s">
        <v>138</v>
      </c>
      <c r="B90" t="s">
        <v>25</v>
      </c>
      <c r="C90" t="s">
        <v>46</v>
      </c>
      <c r="D90">
        <v>20</v>
      </c>
      <c r="E90">
        <v>23664</v>
      </c>
      <c r="F90" s="6">
        <v>473280</v>
      </c>
      <c r="G90" t="s">
        <v>136</v>
      </c>
      <c r="H90" s="1">
        <v>45362</v>
      </c>
    </row>
    <row r="91" spans="1:8">
      <c r="A91" t="s">
        <v>139</v>
      </c>
      <c r="B91" t="s">
        <v>39</v>
      </c>
      <c r="C91" t="s">
        <v>40</v>
      </c>
      <c r="D91">
        <v>23</v>
      </c>
      <c r="E91">
        <v>7894</v>
      </c>
      <c r="F91" s="6">
        <v>181562</v>
      </c>
      <c r="G91" t="s">
        <v>26</v>
      </c>
      <c r="H91" s="1">
        <v>45383</v>
      </c>
    </row>
    <row r="92" spans="1:8">
      <c r="A92" t="s">
        <v>140</v>
      </c>
      <c r="B92" t="s">
        <v>25</v>
      </c>
      <c r="C92" t="s">
        <v>46</v>
      </c>
      <c r="D92">
        <v>47</v>
      </c>
      <c r="E92">
        <v>6357</v>
      </c>
      <c r="F92" s="6">
        <v>298779</v>
      </c>
      <c r="G92" t="s">
        <v>54</v>
      </c>
      <c r="H92" s="1">
        <v>45449</v>
      </c>
    </row>
    <row r="93" spans="1:8">
      <c r="A93" t="s">
        <v>141</v>
      </c>
      <c r="B93" t="s">
        <v>35</v>
      </c>
      <c r="C93" t="s">
        <v>18</v>
      </c>
      <c r="D93">
        <v>16</v>
      </c>
      <c r="E93">
        <v>21708</v>
      </c>
      <c r="F93" s="6">
        <v>347328</v>
      </c>
      <c r="G93" t="s">
        <v>87</v>
      </c>
      <c r="H93" s="1">
        <v>45417</v>
      </c>
    </row>
    <row r="94" spans="1:8">
      <c r="A94" t="s">
        <v>142</v>
      </c>
      <c r="B94" t="s">
        <v>25</v>
      </c>
      <c r="C94" t="s">
        <v>46</v>
      </c>
      <c r="D94">
        <v>28</v>
      </c>
      <c r="E94">
        <v>8137</v>
      </c>
      <c r="F94" s="6">
        <v>227836</v>
      </c>
      <c r="G94" t="s">
        <v>26</v>
      </c>
      <c r="H94" s="1">
        <v>45464</v>
      </c>
    </row>
    <row r="95" spans="1:8">
      <c r="A95" t="s">
        <v>143</v>
      </c>
      <c r="B95" t="s">
        <v>25</v>
      </c>
      <c r="C95" t="s">
        <v>22</v>
      </c>
      <c r="D95">
        <v>9</v>
      </c>
      <c r="E95">
        <v>9266</v>
      </c>
      <c r="F95" s="6">
        <v>83394</v>
      </c>
      <c r="G95" t="s">
        <v>44</v>
      </c>
      <c r="H95" s="1">
        <v>45451</v>
      </c>
    </row>
    <row r="96" spans="1:8">
      <c r="A96" t="s">
        <v>144</v>
      </c>
      <c r="B96" t="s">
        <v>32</v>
      </c>
      <c r="C96" t="s">
        <v>43</v>
      </c>
      <c r="D96">
        <v>16</v>
      </c>
      <c r="E96">
        <v>4337</v>
      </c>
      <c r="F96" s="6">
        <v>69392</v>
      </c>
      <c r="G96" t="s">
        <v>87</v>
      </c>
      <c r="H96" s="1">
        <v>45398</v>
      </c>
    </row>
    <row r="97" spans="1:8">
      <c r="A97" t="s">
        <v>145</v>
      </c>
      <c r="B97" t="s">
        <v>32</v>
      </c>
      <c r="C97" t="s">
        <v>46</v>
      </c>
      <c r="D97">
        <v>11</v>
      </c>
      <c r="E97">
        <v>22848</v>
      </c>
      <c r="F97" s="6">
        <v>251328</v>
      </c>
      <c r="G97" t="s">
        <v>41</v>
      </c>
      <c r="H97" s="1">
        <v>45418</v>
      </c>
    </row>
    <row r="98" spans="1:8">
      <c r="A98" t="s">
        <v>146</v>
      </c>
      <c r="B98" t="s">
        <v>25</v>
      </c>
      <c r="C98" t="s">
        <v>29</v>
      </c>
      <c r="D98">
        <v>17</v>
      </c>
      <c r="E98">
        <v>19554</v>
      </c>
      <c r="F98" s="6">
        <v>332418</v>
      </c>
      <c r="G98" t="s">
        <v>44</v>
      </c>
      <c r="H98" s="1">
        <v>45393</v>
      </c>
    </row>
    <row r="99" spans="1:8">
      <c r="A99" t="s">
        <v>147</v>
      </c>
      <c r="B99" t="s">
        <v>35</v>
      </c>
      <c r="C99" t="s">
        <v>29</v>
      </c>
      <c r="D99">
        <v>41</v>
      </c>
      <c r="E99">
        <v>16712</v>
      </c>
      <c r="F99" s="6">
        <v>685192</v>
      </c>
      <c r="G99" t="s">
        <v>37</v>
      </c>
      <c r="H99" s="1">
        <v>45295</v>
      </c>
    </row>
    <row r="100" spans="1:8">
      <c r="A100" t="s">
        <v>148</v>
      </c>
      <c r="B100" t="s">
        <v>25</v>
      </c>
      <c r="C100" t="s">
        <v>40</v>
      </c>
      <c r="D100">
        <v>14</v>
      </c>
      <c r="E100">
        <v>17088</v>
      </c>
      <c r="F100" s="6">
        <v>239232</v>
      </c>
      <c r="G100" t="s">
        <v>136</v>
      </c>
      <c r="H100" s="1">
        <v>45348</v>
      </c>
    </row>
    <row r="101" spans="1:8">
      <c r="A101" t="s">
        <v>149</v>
      </c>
      <c r="B101" t="s">
        <v>17</v>
      </c>
      <c r="C101" t="s">
        <v>36</v>
      </c>
      <c r="D101">
        <v>43</v>
      </c>
      <c r="E101">
        <v>22432</v>
      </c>
      <c r="F101" s="6">
        <v>964576</v>
      </c>
      <c r="G101" t="s">
        <v>74</v>
      </c>
      <c r="H101" s="1">
        <v>45429</v>
      </c>
    </row>
    <row r="104" spans="1:8">
      <c r="A104" s="2"/>
      <c r="B104" s="2"/>
      <c r="C104" s="2"/>
      <c r="D104" s="2"/>
      <c r="E104" s="2"/>
      <c r="F104" s="7"/>
      <c r="G104" s="2"/>
      <c r="H104" s="2"/>
    </row>
    <row r="105" spans="1:8">
      <c r="A105" s="2"/>
      <c r="B105" s="2"/>
      <c r="C105" s="2"/>
      <c r="D105" s="2"/>
      <c r="E105" s="2"/>
      <c r="F105" s="7"/>
      <c r="G105" s="2"/>
      <c r="H105" s="2"/>
    </row>
    <row r="106" spans="1:8">
      <c r="A106" s="2"/>
      <c r="B106" s="2"/>
      <c r="C106" s="2"/>
      <c r="D106" s="2"/>
      <c r="E106" s="2"/>
      <c r="F106" s="7"/>
      <c r="G106" s="2"/>
      <c r="H106" s="2"/>
    </row>
    <row r="107" spans="1:8">
      <c r="A107" s="2"/>
      <c r="B107" s="2"/>
      <c r="C107" s="2"/>
      <c r="D107" s="2"/>
      <c r="E107" s="2"/>
      <c r="F107" s="7"/>
      <c r="G107" s="2"/>
      <c r="H107" s="2"/>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8A6AC-1702-4661-98CE-1D8153A05168}">
  <sheetPr>
    <tabColor theme="3" tint="0.749992370372631"/>
  </sheetPr>
  <dimension ref="A1:D33"/>
  <sheetViews>
    <sheetView workbookViewId="0">
      <selection activeCell="B3" sqref="B3:B10"/>
    </sheetView>
  </sheetViews>
  <sheetFormatPr defaultRowHeight="15"/>
  <cols>
    <col min="1" max="1" width="20.85546875" customWidth="1"/>
    <col min="2" max="2" width="15.42578125" bestFit="1" customWidth="1"/>
    <col min="4" max="4" width="4.5703125" customWidth="1"/>
  </cols>
  <sheetData>
    <row r="1" spans="1:4">
      <c r="A1" s="29" t="s">
        <v>150</v>
      </c>
      <c r="B1" s="29"/>
    </row>
    <row r="2" spans="1:4">
      <c r="A2" s="3" t="s">
        <v>151</v>
      </c>
      <c r="B2" t="s">
        <v>152</v>
      </c>
    </row>
    <row r="3" spans="1:4">
      <c r="A3" s="4" t="s">
        <v>28</v>
      </c>
      <c r="B3" s="6">
        <v>2839222</v>
      </c>
    </row>
    <row r="4" spans="1:4">
      <c r="A4" s="4" t="s">
        <v>21</v>
      </c>
      <c r="B4" s="6">
        <v>4103350</v>
      </c>
    </row>
    <row r="5" spans="1:4">
      <c r="A5" s="4" t="s">
        <v>25</v>
      </c>
      <c r="B5" s="6">
        <v>3812457</v>
      </c>
    </row>
    <row r="6" spans="1:4">
      <c r="A6" s="4" t="s">
        <v>17</v>
      </c>
      <c r="B6" s="6">
        <v>5669794</v>
      </c>
    </row>
    <row r="7" spans="1:4">
      <c r="A7" s="4" t="s">
        <v>32</v>
      </c>
      <c r="B7" s="6">
        <v>5232187</v>
      </c>
    </row>
    <row r="8" spans="1:4">
      <c r="A8" s="4" t="s">
        <v>35</v>
      </c>
      <c r="B8" s="6">
        <v>6370590</v>
      </c>
    </row>
    <row r="9" spans="1:4">
      <c r="A9" s="4" t="s">
        <v>39</v>
      </c>
      <c r="B9" s="6">
        <v>7267738</v>
      </c>
    </row>
    <row r="10" spans="1:4">
      <c r="A10" s="4" t="s">
        <v>153</v>
      </c>
      <c r="B10" s="6">
        <v>35295338</v>
      </c>
      <c r="D10" s="5"/>
    </row>
    <row r="13" spans="1:4">
      <c r="A13" s="29"/>
      <c r="B13" s="29"/>
    </row>
    <row r="25" spans="1:2">
      <c r="A25" s="29"/>
      <c r="B25" s="29"/>
    </row>
    <row r="33" spans="1:2">
      <c r="A33" s="29"/>
      <c r="B33" s="29"/>
    </row>
  </sheetData>
  <mergeCells count="4">
    <mergeCell ref="A13:B13"/>
    <mergeCell ref="A25:B25"/>
    <mergeCell ref="A33:B33"/>
    <mergeCell ref="A1:B1"/>
  </mergeCell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240B-DC78-4032-8EA5-80A1F26BBFCD}">
  <sheetPr>
    <tabColor theme="3" tint="0.749992370372631"/>
  </sheetPr>
  <dimension ref="A1:B6"/>
  <sheetViews>
    <sheetView workbookViewId="0">
      <selection activeCell="B3" sqref="B3:B6"/>
    </sheetView>
  </sheetViews>
  <sheetFormatPr defaultRowHeight="15"/>
  <cols>
    <col min="1" max="1" width="11.42578125" bestFit="1" customWidth="1"/>
    <col min="2" max="2" width="15.42578125" bestFit="1" customWidth="1"/>
  </cols>
  <sheetData>
    <row r="1" spans="1:2">
      <c r="A1" s="30" t="s">
        <v>154</v>
      </c>
      <c r="B1" s="30"/>
    </row>
    <row r="2" spans="1:2">
      <c r="A2" s="3" t="s">
        <v>9</v>
      </c>
      <c r="B2" t="s">
        <v>152</v>
      </c>
    </row>
    <row r="3" spans="1:2">
      <c r="A3" t="s">
        <v>17</v>
      </c>
      <c r="B3" s="6">
        <v>5669794</v>
      </c>
    </row>
    <row r="4" spans="1:2">
      <c r="A4" t="s">
        <v>35</v>
      </c>
      <c r="B4" s="6">
        <v>6370590</v>
      </c>
    </row>
    <row r="5" spans="1:2">
      <c r="A5" t="s">
        <v>39</v>
      </c>
      <c r="B5" s="6">
        <v>7267738</v>
      </c>
    </row>
    <row r="6" spans="1:2">
      <c r="A6" t="s">
        <v>153</v>
      </c>
      <c r="B6" s="6">
        <v>19308122</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0B44-B54D-424F-B00F-3265431499FF}">
  <sheetPr>
    <tabColor theme="3" tint="0.749992370372631"/>
  </sheetPr>
  <dimension ref="A1:B10"/>
  <sheetViews>
    <sheetView workbookViewId="0">
      <selection activeCell="B3" sqref="B3:B10"/>
    </sheetView>
  </sheetViews>
  <sheetFormatPr defaultRowHeight="15"/>
  <cols>
    <col min="1" max="1" width="13.85546875" bestFit="1" customWidth="1"/>
    <col min="2" max="2" width="15.42578125" bestFit="1" customWidth="1"/>
  </cols>
  <sheetData>
    <row r="1" spans="1:2">
      <c r="A1" s="29" t="s">
        <v>155</v>
      </c>
      <c r="B1" s="29"/>
    </row>
    <row r="2" spans="1:2">
      <c r="A2" s="3" t="s">
        <v>10</v>
      </c>
      <c r="B2" t="s">
        <v>152</v>
      </c>
    </row>
    <row r="3" spans="1:2">
      <c r="A3" t="s">
        <v>46</v>
      </c>
      <c r="B3" s="6">
        <v>2981638</v>
      </c>
    </row>
    <row r="4" spans="1:2">
      <c r="A4" t="s">
        <v>40</v>
      </c>
      <c r="B4" s="6">
        <v>3359398</v>
      </c>
    </row>
    <row r="5" spans="1:2">
      <c r="A5" t="s">
        <v>43</v>
      </c>
      <c r="B5" s="6">
        <v>6231531</v>
      </c>
    </row>
    <row r="6" spans="1:2">
      <c r="A6" t="s">
        <v>29</v>
      </c>
      <c r="B6" s="6">
        <v>3560630</v>
      </c>
    </row>
    <row r="7" spans="1:2">
      <c r="A7" t="s">
        <v>18</v>
      </c>
      <c r="B7" s="6">
        <v>3614655</v>
      </c>
    </row>
    <row r="8" spans="1:2">
      <c r="A8" t="s">
        <v>36</v>
      </c>
      <c r="B8" s="6">
        <v>6201288</v>
      </c>
    </row>
    <row r="9" spans="1:2">
      <c r="A9" t="s">
        <v>22</v>
      </c>
      <c r="B9" s="6">
        <v>9346198</v>
      </c>
    </row>
    <row r="10" spans="1:2">
      <c r="A10" t="s">
        <v>153</v>
      </c>
      <c r="B10" s="6">
        <v>35295338</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396D-6A77-4BAD-92BC-0E8253977B93}">
  <sheetPr>
    <tabColor theme="3" tint="0.749992370372631"/>
  </sheetPr>
  <dimension ref="A2:B10"/>
  <sheetViews>
    <sheetView topLeftCell="A2" workbookViewId="0">
      <selection activeCell="B4" sqref="B4:B10"/>
    </sheetView>
  </sheetViews>
  <sheetFormatPr defaultRowHeight="15"/>
  <cols>
    <col min="1" max="1" width="23" bestFit="1" customWidth="1"/>
    <col min="2" max="2" width="15.42578125" bestFit="1" customWidth="1"/>
    <col min="3" max="7" width="8.7109375" bestFit="1" customWidth="1"/>
    <col min="8" max="8" width="11.42578125" bestFit="1" customWidth="1"/>
  </cols>
  <sheetData>
    <row r="2" spans="1:2">
      <c r="A2" s="30" t="s">
        <v>156</v>
      </c>
      <c r="B2" s="30"/>
    </row>
    <row r="3" spans="1:2">
      <c r="A3" s="3" t="s">
        <v>157</v>
      </c>
      <c r="B3" t="s">
        <v>152</v>
      </c>
    </row>
    <row r="4" spans="1:2">
      <c r="A4" t="s">
        <v>158</v>
      </c>
      <c r="B4" s="6">
        <v>8711713</v>
      </c>
    </row>
    <row r="5" spans="1:2">
      <c r="A5" t="s">
        <v>159</v>
      </c>
      <c r="B5" s="6">
        <v>4969065</v>
      </c>
    </row>
    <row r="6" spans="1:2">
      <c r="A6" t="s">
        <v>160</v>
      </c>
      <c r="B6" s="6">
        <v>3920189</v>
      </c>
    </row>
    <row r="7" spans="1:2">
      <c r="A7" t="s">
        <v>161</v>
      </c>
      <c r="B7" s="6">
        <v>6505806</v>
      </c>
    </row>
    <row r="8" spans="1:2">
      <c r="A8" t="s">
        <v>162</v>
      </c>
      <c r="B8" s="6">
        <v>5803107</v>
      </c>
    </row>
    <row r="9" spans="1:2">
      <c r="A9" t="s">
        <v>163</v>
      </c>
      <c r="B9" s="6">
        <v>5385458</v>
      </c>
    </row>
    <row r="10" spans="1:2">
      <c r="A10" t="s">
        <v>153</v>
      </c>
      <c r="B10" s="6">
        <v>35295338</v>
      </c>
    </row>
  </sheetData>
  <mergeCells count="1">
    <mergeCell ref="A2:B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38E1-635F-4DAA-A0DF-CD4B2135B099}">
  <sheetPr>
    <tabColor theme="3" tint="0.749992370372631"/>
  </sheetPr>
  <dimension ref="A1"/>
  <sheetViews>
    <sheetView topLeftCell="F1" zoomScaleNormal="100" workbookViewId="0">
      <selection activeCell="K33" sqref="K33"/>
    </sheetView>
  </sheetViews>
  <sheetFormatPr defaultRowHeight="15"/>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756C-3550-474B-B803-2425FAC3135B}">
  <sheetPr>
    <tabColor theme="3"/>
  </sheetPr>
  <dimension ref="F1:O32"/>
  <sheetViews>
    <sheetView tabSelected="1" zoomScale="110" zoomScaleNormal="110" workbookViewId="0">
      <selection activeCell="I7" sqref="I7"/>
    </sheetView>
  </sheetViews>
  <sheetFormatPr defaultRowHeight="15"/>
  <cols>
    <col min="8" max="8" width="5.7109375" customWidth="1"/>
    <col min="9" max="9" width="15.42578125" bestFit="1" customWidth="1"/>
    <col min="10" max="10" width="13.5703125" bestFit="1" customWidth="1"/>
    <col min="11" max="11" width="15.140625" bestFit="1" customWidth="1"/>
    <col min="12" max="12" width="14.85546875" bestFit="1" customWidth="1"/>
    <col min="13" max="13" width="3.140625" customWidth="1"/>
    <col min="14" max="14" width="11.42578125" bestFit="1" customWidth="1"/>
    <col min="15" max="15" width="16.42578125" bestFit="1" customWidth="1"/>
  </cols>
  <sheetData>
    <row r="1" spans="6:15">
      <c r="F1" s="40" t="s">
        <v>164</v>
      </c>
      <c r="G1" s="40"/>
      <c r="H1" s="40"/>
      <c r="I1" s="40"/>
      <c r="J1" s="40"/>
      <c r="K1" s="40"/>
      <c r="L1" s="40"/>
      <c r="M1" s="40"/>
      <c r="N1" s="40"/>
      <c r="O1" s="40"/>
    </row>
    <row r="2" spans="6:15" ht="15" customHeight="1">
      <c r="F2" s="40"/>
      <c r="G2" s="40"/>
      <c r="H2" s="40"/>
      <c r="I2" s="40"/>
      <c r="J2" s="40"/>
      <c r="K2" s="40"/>
      <c r="L2" s="40"/>
      <c r="M2" s="40"/>
      <c r="N2" s="40"/>
      <c r="O2" s="40"/>
    </row>
    <row r="3" spans="6:15" ht="15" customHeight="1">
      <c r="F3" s="40"/>
      <c r="G3" s="40"/>
      <c r="H3" s="40"/>
      <c r="I3" s="40"/>
      <c r="J3" s="40"/>
      <c r="K3" s="40"/>
      <c r="L3" s="40"/>
      <c r="M3" s="40"/>
      <c r="N3" s="40"/>
      <c r="O3" s="40"/>
    </row>
    <row r="4" spans="6:15" ht="3" customHeight="1" thickBot="1"/>
    <row r="5" spans="6:15">
      <c r="I5" s="12" t="s">
        <v>165</v>
      </c>
      <c r="J5" s="13" t="s">
        <v>152</v>
      </c>
      <c r="K5" s="13" t="s">
        <v>166</v>
      </c>
      <c r="L5" s="13" t="s">
        <v>167</v>
      </c>
      <c r="N5" s="42">
        <f>COUNTA(_xlfn.UNIQUE(Week_2_Sales_Data[Order_ID]))</f>
        <v>100</v>
      </c>
      <c r="O5" s="43"/>
    </row>
    <row r="6" spans="6:15">
      <c r="I6" s="10" t="s">
        <v>28</v>
      </c>
      <c r="J6" s="11">
        <v>11592</v>
      </c>
      <c r="K6" s="54">
        <v>3</v>
      </c>
      <c r="L6" s="11">
        <v>3864</v>
      </c>
      <c r="N6" s="44"/>
      <c r="O6" s="45"/>
    </row>
    <row r="7" spans="6:15">
      <c r="I7" s="10" t="s">
        <v>21</v>
      </c>
      <c r="J7" s="11">
        <v>346420</v>
      </c>
      <c r="K7" s="54">
        <v>32</v>
      </c>
      <c r="L7" s="11">
        <v>40558</v>
      </c>
      <c r="N7" s="46"/>
      <c r="O7" s="47"/>
    </row>
    <row r="8" spans="6:15">
      <c r="I8" s="10" t="s">
        <v>25</v>
      </c>
      <c r="J8" s="11">
        <v>862678</v>
      </c>
      <c r="K8" s="54">
        <v>77</v>
      </c>
      <c r="L8" s="11">
        <v>28934</v>
      </c>
      <c r="N8" s="38" t="s">
        <v>168</v>
      </c>
      <c r="O8" s="39"/>
    </row>
    <row r="9" spans="6:15">
      <c r="I9" s="10" t="s">
        <v>17</v>
      </c>
      <c r="J9" s="11">
        <v>2196934</v>
      </c>
      <c r="K9" s="54">
        <v>126</v>
      </c>
      <c r="L9" s="11">
        <v>72893</v>
      </c>
    </row>
    <row r="10" spans="6:15">
      <c r="I10" s="10" t="s">
        <v>32</v>
      </c>
      <c r="J10" s="11">
        <v>1755032</v>
      </c>
      <c r="K10" s="54">
        <v>121</v>
      </c>
      <c r="L10" s="11">
        <v>43106</v>
      </c>
      <c r="N10" s="32">
        <f>SUM(J6:J12)</f>
        <v>9346198</v>
      </c>
      <c r="O10" s="33"/>
    </row>
    <row r="11" spans="6:15">
      <c r="I11" s="10" t="s">
        <v>35</v>
      </c>
      <c r="J11" s="11">
        <v>2334954</v>
      </c>
      <c r="K11" s="54">
        <v>133</v>
      </c>
      <c r="L11" s="11">
        <v>121642</v>
      </c>
      <c r="N11" s="34"/>
      <c r="O11" s="35"/>
    </row>
    <row r="12" spans="6:15">
      <c r="I12" s="10" t="s">
        <v>39</v>
      </c>
      <c r="J12" s="11">
        <v>1838588</v>
      </c>
      <c r="K12" s="54">
        <v>131</v>
      </c>
      <c r="L12" s="11">
        <v>40822</v>
      </c>
      <c r="N12" s="36"/>
      <c r="O12" s="37"/>
    </row>
    <row r="13" spans="6:15" ht="15.75" thickBot="1">
      <c r="N13" s="38" t="s">
        <v>169</v>
      </c>
      <c r="O13" s="39"/>
    </row>
    <row r="14" spans="6:15" ht="15.75" thickBot="1"/>
    <row r="15" spans="6:15">
      <c r="N15" s="48">
        <f>SUM(K6:K12)</f>
        <v>623</v>
      </c>
      <c r="O15" s="49"/>
    </row>
    <row r="16" spans="6:15">
      <c r="N16" s="50"/>
      <c r="O16" s="51"/>
    </row>
    <row r="17" spans="6:15" ht="15.75" thickBot="1">
      <c r="N17" s="52"/>
      <c r="O17" s="53"/>
    </row>
    <row r="18" spans="6:15" ht="15.75" thickBot="1">
      <c r="N18" s="38" t="s">
        <v>170</v>
      </c>
      <c r="O18" s="39"/>
    </row>
    <row r="19" spans="6:15" ht="15.75" thickBot="1"/>
    <row r="20" spans="6:15">
      <c r="N20" s="32">
        <f>SUM(L6:L12)</f>
        <v>351819</v>
      </c>
      <c r="O20" s="33"/>
    </row>
    <row r="21" spans="6:15">
      <c r="N21" s="34"/>
      <c r="O21" s="35"/>
    </row>
    <row r="22" spans="6:15" ht="15.75" thickBot="1">
      <c r="N22" s="36"/>
      <c r="O22" s="37"/>
    </row>
    <row r="23" spans="6:15" ht="15.75" thickBot="1">
      <c r="N23" s="38" t="s">
        <v>171</v>
      </c>
      <c r="O23" s="39"/>
    </row>
    <row r="24" spans="6:15">
      <c r="N24" s="8"/>
      <c r="O24" s="8"/>
    </row>
    <row r="25" spans="6:15">
      <c r="N25" s="41" t="s">
        <v>172</v>
      </c>
      <c r="O25" s="41"/>
    </row>
    <row r="26" spans="6:15">
      <c r="N26" s="3" t="s">
        <v>165</v>
      </c>
      <c r="O26" t="s">
        <v>13</v>
      </c>
    </row>
    <row r="27" spans="6:15">
      <c r="N27" s="9" t="s">
        <v>17</v>
      </c>
      <c r="O27" s="25">
        <v>5669794</v>
      </c>
    </row>
    <row r="28" spans="6:15">
      <c r="N28" s="9" t="s">
        <v>35</v>
      </c>
      <c r="O28" s="25">
        <v>6370590</v>
      </c>
    </row>
    <row r="29" spans="6:15">
      <c r="N29" s="9" t="s">
        <v>39</v>
      </c>
      <c r="O29" s="25">
        <v>7267738</v>
      </c>
    </row>
    <row r="30" spans="6:15" ht="15" customHeight="1">
      <c r="F30" s="31" t="s">
        <v>173</v>
      </c>
      <c r="G30" s="31"/>
      <c r="H30" s="31"/>
      <c r="I30" s="31"/>
      <c r="J30" s="31"/>
      <c r="K30" s="31"/>
      <c r="L30" s="31"/>
      <c r="M30" s="31"/>
      <c r="N30" s="31"/>
      <c r="O30" s="31"/>
    </row>
    <row r="31" spans="6:15">
      <c r="F31" s="31"/>
      <c r="G31" s="31"/>
      <c r="H31" s="31"/>
      <c r="I31" s="31"/>
      <c r="J31" s="31"/>
      <c r="K31" s="31"/>
      <c r="L31" s="31"/>
      <c r="M31" s="31"/>
      <c r="N31" s="31"/>
      <c r="O31" s="31"/>
    </row>
    <row r="32" spans="6:15">
      <c r="F32" s="27"/>
      <c r="G32" s="27"/>
      <c r="H32" s="27"/>
      <c r="I32" s="27"/>
      <c r="J32" s="27"/>
      <c r="K32" s="27"/>
      <c r="L32" s="27"/>
      <c r="M32" s="27"/>
      <c r="N32" s="27"/>
      <c r="O32" s="27"/>
    </row>
  </sheetData>
  <mergeCells count="11">
    <mergeCell ref="F30:O31"/>
    <mergeCell ref="N20:O22"/>
    <mergeCell ref="N23:O23"/>
    <mergeCell ref="F1:O3"/>
    <mergeCell ref="N25:O25"/>
    <mergeCell ref="N5:O7"/>
    <mergeCell ref="N8:O8"/>
    <mergeCell ref="N10:O12"/>
    <mergeCell ref="N13:O13"/>
    <mergeCell ref="N15:O17"/>
    <mergeCell ref="N18:O18"/>
  </mergeCells>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cb0914b-7328-402a-81ce-d9536cd571e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11F88844A9884C8F497A6BB5C7B62F" ma:contentTypeVersion="9" ma:contentTypeDescription="Create a new document." ma:contentTypeScope="" ma:versionID="c97a3cd29b8db91a60a374c6fce39527">
  <xsd:schema xmlns:xsd="http://www.w3.org/2001/XMLSchema" xmlns:xs="http://www.w3.org/2001/XMLSchema" xmlns:p="http://schemas.microsoft.com/office/2006/metadata/properties" xmlns:ns2="9cb0914b-7328-402a-81ce-d9536cd571ee" targetNamespace="http://schemas.microsoft.com/office/2006/metadata/properties" ma:root="true" ma:fieldsID="7d2cc8579d0d81feaaccd9284f6ba7e3" ns2:_="">
    <xsd:import namespace="9cb0914b-7328-402a-81ce-d9536cd571e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b0914b-7328-402a-81ce-d9536cd571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66b7f75-f62d-4b7a-b8a1-4b1a340ee17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E25C6EE-8E12-4C4F-B6FC-B7E33A6F893C}"/>
</file>

<file path=customXml/itemProps2.xml><?xml version="1.0" encoding="utf-8"?>
<ds:datastoreItem xmlns:ds="http://schemas.openxmlformats.org/officeDocument/2006/customXml" ds:itemID="{E749E07F-70F4-416B-A85F-95455AED5511}"/>
</file>

<file path=customXml/itemProps3.xml><?xml version="1.0" encoding="utf-8"?>
<ds:datastoreItem xmlns:ds="http://schemas.openxmlformats.org/officeDocument/2006/customXml" ds:itemID="{9AF638D2-9F16-48F9-BC2C-9309233C9A1C}"/>
</file>

<file path=customXml/itemProps4.xml><?xml version="1.0" encoding="utf-8"?>
<ds:datastoreItem xmlns:ds="http://schemas.openxmlformats.org/officeDocument/2006/customXml" ds:itemID="{D8ED1FF5-0913-4FD2-B424-D816F07630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Sibongile Maluleka</dc:creator>
  <cp:keywords/>
  <dc:description/>
  <cp:lastModifiedBy>Sibongile Maluleka</cp:lastModifiedBy>
  <cp:revision/>
  <dcterms:created xsi:type="dcterms:W3CDTF">2026-02-16T17:02:40Z</dcterms:created>
  <dcterms:modified xsi:type="dcterms:W3CDTF">2026-03-17T13:29:12Z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0x0101004411F88844A9884C8F497A6BB5C7B62F</vt:lpwstr>
  </property>
</Properties>
</file>